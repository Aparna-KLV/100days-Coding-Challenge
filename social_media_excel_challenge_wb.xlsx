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5"/>
  </bookViews>
  <sheets>
    <sheet name="Comments" sheetId="4" r:id="rId1"/>
    <sheet name="Users" sheetId="1" r:id="rId2"/>
    <sheet name="Friendships" sheetId="5" r:id="rId3"/>
    <sheet name="Likes" sheetId="3" r:id="rId4"/>
    <sheet name="Posts" sheetId="2" r:id="rId5"/>
    <sheet name="pvt_dashboard" sheetId="17" r:id="rId6"/>
    <sheet name="cleaned_data_formulas_functions" sheetId="6" r:id="rId7"/>
    <sheet name="pivot_tables" sheetId="15" r:id="rId8"/>
  </sheets>
  <definedNames>
    <definedName name="Slicer_Post_Date">#N/A</definedName>
    <definedName name="Slicer_City">#N/A</definedName>
    <definedName name="Slicer_Like_Date">#N/A</definedName>
  </definedNames>
  <calcPr calcId="191029"/>
  <pivotCaches>
    <pivotCache cacheId="0" r:id="rId9"/>
    <pivotCache cacheId="1" r:id="rId10"/>
    <pivotCache cacheId="2" r:id="rId11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<sst xmlns="http://schemas.openxmlformats.org/spreadsheetml/2006/main" count="578" uniqueCount="338">
  <si>
    <t>Comment_ID</t>
  </si>
  <si>
    <t>Post_ID</t>
  </si>
  <si>
    <t>User_ID</t>
  </si>
  <si>
    <t>Comment_Text</t>
  </si>
  <si>
    <t>Comment_Date</t>
  </si>
  <si>
    <t>Total protect news response past author.</t>
  </si>
  <si>
    <t>Guess push nearly sit.</t>
  </si>
  <si>
    <t>Nation mean draw.</t>
  </si>
  <si>
    <t>Ago kitchen century key small.</t>
  </si>
  <si>
    <t>Understand plant energy apply professor defense agreement likely.</t>
  </si>
  <si>
    <t>Health special force city to.</t>
  </si>
  <si>
    <t>Check clear program cell case government add store.</t>
  </si>
  <si>
    <t>Perform figure beat watch as American.</t>
  </si>
  <si>
    <t>Short prepare machine adult peace conference expect.</t>
  </si>
  <si>
    <t>Point offer once wear most why them quickly.</t>
  </si>
  <si>
    <t>Study he particularly nor difficult.</t>
  </si>
  <si>
    <t>Why number return outside.</t>
  </si>
  <si>
    <t>Pattern know red single media.</t>
  </si>
  <si>
    <t>Surface whole paper agreement true article.</t>
  </si>
  <si>
    <t>Usually employee investment wall.</t>
  </si>
  <si>
    <t>Former may best ask understand.</t>
  </si>
  <si>
    <t>Charge know onto while.</t>
  </si>
  <si>
    <t>Option single focus issue particular and rate.</t>
  </si>
  <si>
    <t>Very less national theory themselves.</t>
  </si>
  <si>
    <t>Case collection before fine thought start year.</t>
  </si>
  <si>
    <t>Measure accept explain light maybe meeting personal public.</t>
  </si>
  <si>
    <t>Another discussion course miss opportunity wish.</t>
  </si>
  <si>
    <t>Should economic happy mouth benefit.</t>
  </si>
  <si>
    <t>Bed hard drive prove north various shoulder state.</t>
  </si>
  <si>
    <t>Weight accept campaign approach over training.</t>
  </si>
  <si>
    <t>Sing would worry test improve several.</t>
  </si>
  <si>
    <t>Street still that air leg play.</t>
  </si>
  <si>
    <t>Current their name sing production month science little.</t>
  </si>
  <si>
    <t>Story south far cold you current.</t>
  </si>
  <si>
    <t>Writer even movie.</t>
  </si>
  <si>
    <t>Have turn teach Democrat reason treatment ago.</t>
  </si>
  <si>
    <t>Fear film low truth practice.</t>
  </si>
  <si>
    <t>Great table receive then.</t>
  </si>
  <si>
    <t>Decade low that number.</t>
  </si>
  <si>
    <t>Its buy writer kitchen debate coach dream.</t>
  </si>
  <si>
    <t>Whether development ten however career that nearly style.</t>
  </si>
  <si>
    <t>Something production support develop.</t>
  </si>
  <si>
    <t>Discover probably wonder.</t>
  </si>
  <si>
    <t>Affect manager body former maintain stop.</t>
  </si>
  <si>
    <t>A else general simple.</t>
  </si>
  <si>
    <t>Little whole good quickly my successful protect well.</t>
  </si>
  <si>
    <t>Mrs free human sea design big back.</t>
  </si>
  <si>
    <t>Phone usually community or.</t>
  </si>
  <si>
    <t>Particularly indeed remain much American.</t>
  </si>
  <si>
    <t>Two sound yes both better.</t>
  </si>
  <si>
    <t>Draw back world culture.</t>
  </si>
  <si>
    <t>Start happen approach whose she indeed soon president.</t>
  </si>
  <si>
    <t>Standard over mother.</t>
  </si>
  <si>
    <t>Price name why decade.</t>
  </si>
  <si>
    <t>To painting couple step human pressure still.</t>
  </si>
  <si>
    <t>Add he debate computer loss product network.</t>
  </si>
  <si>
    <t>Stage point represent hope company conference thing from.</t>
  </si>
  <si>
    <t>Population single music company.</t>
  </si>
  <si>
    <t>Approach man employee always nature.</t>
  </si>
  <si>
    <t>Local health instead beautiful particularly government create.</t>
  </si>
  <si>
    <t>Large always list more perform west.</t>
  </si>
  <si>
    <t>Reduce soon bar collection democratic sister.</t>
  </si>
  <si>
    <t>This together describe write rate hotel.</t>
  </si>
  <si>
    <t>Program learn close simply month.</t>
  </si>
  <si>
    <t>Spend cause this yet apply capital.</t>
  </si>
  <si>
    <t>Run far course think Republican himself herself.</t>
  </si>
  <si>
    <t>Exactly character lay success.</t>
  </si>
  <si>
    <t>Significant education ever.</t>
  </si>
  <si>
    <t>Smile wait police.</t>
  </si>
  <si>
    <t>Ground fight create while.</t>
  </si>
  <si>
    <t>Than speak manage before really.</t>
  </si>
  <si>
    <t>Report career speak yard.</t>
  </si>
  <si>
    <t>Rock kitchen fight agreement upon even ahead free.</t>
  </si>
  <si>
    <t>Ready TV kid likely despite.</t>
  </si>
  <si>
    <t>Drop move hope fight various military throw bad.</t>
  </si>
  <si>
    <t>Make statement positive couple.</t>
  </si>
  <si>
    <t>Seem by child human space month.</t>
  </si>
  <si>
    <t>Different one great parent civil much.</t>
  </si>
  <si>
    <t>Debate fish sea though mind natural.</t>
  </si>
  <si>
    <t>Hair quite specific so green answer.</t>
  </si>
  <si>
    <t>Develop fund I new.</t>
  </si>
  <si>
    <t>Who effect hospital scientist tax eat.</t>
  </si>
  <si>
    <t>Form less shake think from machine.</t>
  </si>
  <si>
    <t>Ahead response reason remain prepare.</t>
  </si>
  <si>
    <t>Western simply international final.</t>
  </si>
  <si>
    <t>Suffer kitchen modern under item keep.</t>
  </si>
  <si>
    <t>Half structure wish they.</t>
  </si>
  <si>
    <t>Determine whom beautiful.</t>
  </si>
  <si>
    <t>Security challenge house war teach.</t>
  </si>
  <si>
    <t>Loss parent house attention after.</t>
  </si>
  <si>
    <t>Mr blood everyone civil that draw.</t>
  </si>
  <si>
    <t>Note beautiful forget space realize.</t>
  </si>
  <si>
    <t>Ground because office indicate stop.</t>
  </si>
  <si>
    <t>Leg husband standard subject who bank environment.</t>
  </si>
  <si>
    <t>Good safe report us hand society yard into.</t>
  </si>
  <si>
    <t>Girl fact miss interview step age.</t>
  </si>
  <si>
    <t>Relationship onto himself fact fund.</t>
  </si>
  <si>
    <t>Must fill me woman service material rest hit.</t>
  </si>
  <si>
    <t>Former production at stand technology.</t>
  </si>
  <si>
    <t>Then develop woman event.</t>
  </si>
  <si>
    <t>Car star mind center top dog discuss.</t>
  </si>
  <si>
    <t>Others six blood.</t>
  </si>
  <si>
    <t>Hundred participant learn big save discuss create service.</t>
  </si>
  <si>
    <t>Plant management little among item.</t>
  </si>
  <si>
    <t>Wonder write shoulder share.</t>
  </si>
  <si>
    <t>Husband even fill be design.</t>
  </si>
  <si>
    <t>Ability notice war seat tell job along fill.</t>
  </si>
  <si>
    <t>Attorney technology order air.</t>
  </si>
  <si>
    <t>Scene rise billion option.</t>
  </si>
  <si>
    <t>Claim system official possible season sign city speech.</t>
  </si>
  <si>
    <t>Over war represent read.</t>
  </si>
  <si>
    <t>Mrs military skill card to.</t>
  </si>
  <si>
    <t>Main then wear pretty beautiful strong risk.</t>
  </si>
  <si>
    <t>Guess church argue source work.</t>
  </si>
  <si>
    <t>Conference head cover population.</t>
  </si>
  <si>
    <t>Media themselves other part pattern them.</t>
  </si>
  <si>
    <t>Writer police factor nearly name require.</t>
  </si>
  <si>
    <t>Later film free future.</t>
  </si>
  <si>
    <t>Nothing gun because better new do.</t>
  </si>
  <si>
    <t>End help seek good.</t>
  </si>
  <si>
    <t>Guy community protect relationship theory name.</t>
  </si>
  <si>
    <t>Style unit power.</t>
  </si>
  <si>
    <t>Although deal determine.</t>
  </si>
  <si>
    <t>Job business billion skin mention not hundred.</t>
  </si>
  <si>
    <t>Should single officer success.</t>
  </si>
  <si>
    <t>Username</t>
  </si>
  <si>
    <t>Email</t>
  </si>
  <si>
    <t>Join_Date</t>
  </si>
  <si>
    <t>City</t>
  </si>
  <si>
    <t>daniel14</t>
  </si>
  <si>
    <t>tina13@hotmail.com</t>
  </si>
  <si>
    <t>New Krystal</t>
  </si>
  <si>
    <t>jacksonbrianna</t>
  </si>
  <si>
    <t>rjohnson@mayo.com</t>
  </si>
  <si>
    <t>East Jennifer</t>
  </si>
  <si>
    <t>restes</t>
  </si>
  <si>
    <t>heatherfernandez@jenkins-martinez.com</t>
  </si>
  <si>
    <t>West Richardchester</t>
  </si>
  <si>
    <t>joshuatucker</t>
  </si>
  <si>
    <t>ortegathomas@gmail.com</t>
  </si>
  <si>
    <t>East Luisberg</t>
  </si>
  <si>
    <t>matthew35</t>
  </si>
  <si>
    <t>johnsonnathan@cruz-sullivan.com</t>
  </si>
  <si>
    <t>South Kylemouth</t>
  </si>
  <si>
    <t>ghogan</t>
  </si>
  <si>
    <t>robert35@gmail.com</t>
  </si>
  <si>
    <t>Payneshire</t>
  </si>
  <si>
    <t>costamark</t>
  </si>
  <si>
    <t>mercadoheidi@savage.com</t>
  </si>
  <si>
    <t>Taraberg</t>
  </si>
  <si>
    <t>estradatracy</t>
  </si>
  <si>
    <t>porterkatherine@horton.com</t>
  </si>
  <si>
    <t>Leahborough</t>
  </si>
  <si>
    <t>ahamilton</t>
  </si>
  <si>
    <t>qsnow@huang.net</t>
  </si>
  <si>
    <t>Garciashire</t>
  </si>
  <si>
    <t>chamberslouis</t>
  </si>
  <si>
    <t>davidmoore@gmail.com</t>
  </si>
  <si>
    <t>Edwardsbury</t>
  </si>
  <si>
    <t>georgemartin</t>
  </si>
  <si>
    <t>codyoconnor@lopez.com</t>
  </si>
  <si>
    <t>Heatherland</t>
  </si>
  <si>
    <t>meyersjacqueline</t>
  </si>
  <si>
    <t>sfowler@hotmail.com</t>
  </si>
  <si>
    <t>Jerrychester</t>
  </si>
  <si>
    <t>ronald33</t>
  </si>
  <si>
    <t>nlarson@delgado.net</t>
  </si>
  <si>
    <t>Stephenbury</t>
  </si>
  <si>
    <t>williamsrobert</t>
  </si>
  <si>
    <t>michael13@graves.com</t>
  </si>
  <si>
    <t>Andreaborough</t>
  </si>
  <si>
    <t>seandonaldson</t>
  </si>
  <si>
    <t>bushandrew@norton.info</t>
  </si>
  <si>
    <t>Morrisfurt</t>
  </si>
  <si>
    <t>ericabaker</t>
  </si>
  <si>
    <t>grahamdesiree@griffin-herring.com</t>
  </si>
  <si>
    <t>East Taylorfurt</t>
  </si>
  <si>
    <t>smithlogan</t>
  </si>
  <si>
    <t>millerkyle@gmail.com</t>
  </si>
  <si>
    <t>Kathyview</t>
  </si>
  <si>
    <t>oromero</t>
  </si>
  <si>
    <t>roberthicks@smith-robertson.com</t>
  </si>
  <si>
    <t>Mooreshire</t>
  </si>
  <si>
    <t>bassjason</t>
  </si>
  <si>
    <t>joshuabell@gmail.com</t>
  </si>
  <si>
    <t>Hunterland</t>
  </si>
  <si>
    <t>haledavid</t>
  </si>
  <si>
    <t>eric01@long-golden.biz</t>
  </si>
  <si>
    <t>Danielhaven</t>
  </si>
  <si>
    <t>carpentermckenzie</t>
  </si>
  <si>
    <t>tammiemiller@yahoo.com</t>
  </si>
  <si>
    <t>Cruzfurt</t>
  </si>
  <si>
    <t>erikaphillips</t>
  </si>
  <si>
    <t>franklinamanda@hicks.com</t>
  </si>
  <si>
    <t>Calderonbury</t>
  </si>
  <si>
    <t>kevinhampton</t>
  </si>
  <si>
    <t>nolantiffany@wilson.com</t>
  </si>
  <si>
    <t>Lake Eric</t>
  </si>
  <si>
    <t>privera</t>
  </si>
  <si>
    <t>tiffany20@chavez-robinson.com</t>
  </si>
  <si>
    <t>Hollandmouth</t>
  </si>
  <si>
    <t>abigailmercer</t>
  </si>
  <si>
    <t>kevinporter@schneider.org</t>
  </si>
  <si>
    <t>Kennethside</t>
  </si>
  <si>
    <t>mbush</t>
  </si>
  <si>
    <t>xdecker@yahoo.com</t>
  </si>
  <si>
    <t>Codyview</t>
  </si>
  <si>
    <t>taylorclark</t>
  </si>
  <si>
    <t>amanda22@thomas-newman.biz</t>
  </si>
  <si>
    <t>Walterland</t>
  </si>
  <si>
    <t>kristendecker</t>
  </si>
  <si>
    <t>benjamincox@graham.biz</t>
  </si>
  <si>
    <t>Lauraberg</t>
  </si>
  <si>
    <t>ssharp</t>
  </si>
  <si>
    <t>mmurray@hotmail.com</t>
  </si>
  <si>
    <t>North Benjamin</t>
  </si>
  <si>
    <t>victorjackson</t>
  </si>
  <si>
    <t>henryblake@yahoo.com</t>
  </si>
  <si>
    <t>North Shawnfurt</t>
  </si>
  <si>
    <t>timothy51</t>
  </si>
  <si>
    <t>laurie37@cook.com</t>
  </si>
  <si>
    <t>Lake Nathan</t>
  </si>
  <si>
    <t>lucerodavid</t>
  </si>
  <si>
    <t>schroederdennis@gmail.com</t>
  </si>
  <si>
    <t>North Amandaton</t>
  </si>
  <si>
    <t>jonessydney</t>
  </si>
  <si>
    <t>courtneyheath@gregory.biz</t>
  </si>
  <si>
    <t>East Sharontown</t>
  </si>
  <si>
    <t>carrillotiffany</t>
  </si>
  <si>
    <t>imartinez@yahoo.com</t>
  </si>
  <si>
    <t>Seanville</t>
  </si>
  <si>
    <t>leegina</t>
  </si>
  <si>
    <t>jrobinson@yahoo.com</t>
  </si>
  <si>
    <t>Port Susanfort</t>
  </si>
  <si>
    <t>larry37</t>
  </si>
  <si>
    <t>lindseyroy@yahoo.com</t>
  </si>
  <si>
    <t>East Melissaville</t>
  </si>
  <si>
    <t>ljohnson</t>
  </si>
  <si>
    <t>coreythomas@yahoo.com</t>
  </si>
  <si>
    <t>East Willieton</t>
  </si>
  <si>
    <t>christian06</t>
  </si>
  <si>
    <t>dennis81@clayton-gonzalez.com</t>
  </si>
  <si>
    <t>South Brendafurt</t>
  </si>
  <si>
    <t>traviscarr</t>
  </si>
  <si>
    <t>gordonbrandon@morales.org</t>
  </si>
  <si>
    <t>Bushstad</t>
  </si>
  <si>
    <t>znelson</t>
  </si>
  <si>
    <t>jonesbrandon@buchanan-sawyer.com</t>
  </si>
  <si>
    <t>Amandafurt</t>
  </si>
  <si>
    <t>samuel65</t>
  </si>
  <si>
    <t>rileyjason@keller.com</t>
  </si>
  <si>
    <t>New David</t>
  </si>
  <si>
    <t>lindadelgado</t>
  </si>
  <si>
    <t>cheryllong@whitehead-harris.com</t>
  </si>
  <si>
    <t>Christopherside</t>
  </si>
  <si>
    <t>suzannevillanueva</t>
  </si>
  <si>
    <t>foleythomas@walker.com</t>
  </si>
  <si>
    <t>North Anna</t>
  </si>
  <si>
    <t>weavergina</t>
  </si>
  <si>
    <t>melissa75@yahoo.com</t>
  </si>
  <si>
    <t>Davidville</t>
  </si>
  <si>
    <t>rebeccapacheco</t>
  </si>
  <si>
    <t>zunigajohn@gmail.com</t>
  </si>
  <si>
    <t>East Michael</t>
  </si>
  <si>
    <t>vbutler</t>
  </si>
  <si>
    <t>stephaniesantiago@ramos-ballard.com</t>
  </si>
  <si>
    <t>Port Lanceland</t>
  </si>
  <si>
    <t>sheri18</t>
  </si>
  <si>
    <t>monique96@gmail.com</t>
  </si>
  <si>
    <t>Mendezborough</t>
  </si>
  <si>
    <t>qfields</t>
  </si>
  <si>
    <t>qcox@yahoo.com</t>
  </si>
  <si>
    <t>Josephshire</t>
  </si>
  <si>
    <t>pgarcia</t>
  </si>
  <si>
    <t>ophillips@whitaker.info</t>
  </si>
  <si>
    <t>New Amanda</t>
  </si>
  <si>
    <t>tiffanymoore</t>
  </si>
  <si>
    <t>feliciapatrick@rice-schmidt.com</t>
  </si>
  <si>
    <t>Watsonton</t>
  </si>
  <si>
    <t>Friendship_ID</t>
  </si>
  <si>
    <t>User_ID1</t>
  </si>
  <si>
    <t>User_ID2</t>
  </si>
  <si>
    <t>Since_Date</t>
  </si>
  <si>
    <t>Like_ID</t>
  </si>
  <si>
    <t>Like_Date</t>
  </si>
  <si>
    <t>Content_Length</t>
  </si>
  <si>
    <t>Post_Date</t>
  </si>
  <si>
    <t>domain</t>
  </si>
  <si>
    <t>post_count</t>
  </si>
  <si>
    <t>Avg_cont_length</t>
  </si>
  <si>
    <t>Likes_given</t>
  </si>
  <si>
    <t>comments_given</t>
  </si>
  <si>
    <t>Total_act</t>
  </si>
  <si>
    <t>user_name</t>
  </si>
  <si>
    <t>duration_months</t>
  </si>
  <si>
    <t>hotmail.com</t>
  </si>
  <si>
    <t>mayo.com</t>
  </si>
  <si>
    <t>jenkins-martinez.com</t>
  </si>
  <si>
    <t>gmail.com</t>
  </si>
  <si>
    <t>cruz-sullivan.com</t>
  </si>
  <si>
    <t>savage.com</t>
  </si>
  <si>
    <t>horton.com</t>
  </si>
  <si>
    <t>huang.net</t>
  </si>
  <si>
    <t>lopez.com</t>
  </si>
  <si>
    <t>delgado.net</t>
  </si>
  <si>
    <t>graves.com</t>
  </si>
  <si>
    <t>norton.info</t>
  </si>
  <si>
    <t>griffin-herring.com</t>
  </si>
  <si>
    <t>smith-robertson.com</t>
  </si>
  <si>
    <t>long-golden.biz</t>
  </si>
  <si>
    <t>yahoo.com</t>
  </si>
  <si>
    <t>hicks.com</t>
  </si>
  <si>
    <t>wilson.com</t>
  </si>
  <si>
    <t>chavez-robinson.com</t>
  </si>
  <si>
    <t>schneider.org</t>
  </si>
  <si>
    <t>thomas-newman.biz</t>
  </si>
  <si>
    <t>graham.biz</t>
  </si>
  <si>
    <t>cook.com</t>
  </si>
  <si>
    <t>gregory.biz</t>
  </si>
  <si>
    <t>clayton-gonzalez.com</t>
  </si>
  <si>
    <t>morales.org</t>
  </si>
  <si>
    <t>buchanan-sawyer.com</t>
  </si>
  <si>
    <t>keller.com</t>
  </si>
  <si>
    <t>whitehead-harris.com</t>
  </si>
  <si>
    <t>walker.com</t>
  </si>
  <si>
    <t>ramos-ballard.com</t>
  </si>
  <si>
    <t>whitaker.info</t>
  </si>
  <si>
    <t>rice-schmidt.com</t>
  </si>
  <si>
    <t>Sum of Post_ID</t>
  </si>
  <si>
    <t>Sum of User_ID</t>
  </si>
  <si>
    <t>Sum of Like_ID</t>
  </si>
  <si>
    <t>Sum of comments_given</t>
  </si>
  <si>
    <t>Sum of Likes_given</t>
  </si>
  <si>
    <t>Count of Like_ID</t>
  </si>
  <si>
    <t>Count of Post_ID</t>
  </si>
  <si>
    <t>Count of Comment_ID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</si>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</sst>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m/yyyy"/>
    <numFmt numFmtId="182" formatCode="yyyy/mm/dd"/>
  </numFmts>
  <fonts count="2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F1115"/>
      <name val="Calibri"/>
      <charset val="134"/>
      <scheme val="minor"/>
    </font>
    <font>
      <sz val="10.5"/>
      <color rgb="FF0F1115"/>
      <name val="Calibri"/>
      <charset val="134"/>
      <scheme val="minor"/>
    </font>
    <font>
      <sz val="10"/>
      <color rgb="FF0F1115"/>
      <name val="Calibri"/>
      <charset val="134"/>
    </font>
    <font>
      <sz val="10.5"/>
      <color rgb="FF0F1115"/>
      <name val="Cascadia Mono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7">
    <xf numFmtId="0" fontId="0" fillId="0" borderId="0" xfId="0"/>
    <xf numFmtId="180" fontId="0" fillId="0" borderId="0" xfId="0" applyNumberFormat="1"/>
    <xf numFmtId="18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81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NumberFormat="1" applyFont="1"/>
    <xf numFmtId="2" fontId="3" fillId="0" borderId="0" xfId="0" applyNumberFormat="1" applyFont="1" applyAlignment="1"/>
    <xf numFmtId="0" fontId="2" fillId="0" borderId="0" xfId="0" applyNumberFormat="1" applyFont="1"/>
    <xf numFmtId="0" fontId="2" fillId="0" borderId="0" xfId="0" applyNumberFormat="1" applyFont="1"/>
    <xf numFmtId="2" fontId="3" fillId="0" borderId="0" xfId="0" applyNumberFormat="1" applyFont="1"/>
    <xf numFmtId="0" fontId="0" fillId="0" borderId="0" xfId="0" applyNumberFormat="1" applyFont="1"/>
    <xf numFmtId="2" fontId="4" fillId="0" borderId="0" xfId="0" applyNumberFormat="1" applyFont="1"/>
    <xf numFmtId="0" fontId="5" fillId="0" borderId="0" xfId="0" applyNumberFormat="1" applyFont="1" applyAlignment="1">
      <alignment wrapText="1"/>
    </xf>
    <xf numFmtId="0" fontId="5" fillId="2" borderId="0" xfId="0" applyNumberFormat="1" applyFont="1" applyFill="1"/>
    <xf numFmtId="0" fontId="5" fillId="0" borderId="0" xfId="0" applyNumberFormat="1" applyFont="1"/>
    <xf numFmtId="0" fontId="6" fillId="0" borderId="0" xfId="0" applyNumberFormat="1" applyFont="1"/>
    <xf numFmtId="0" fontId="7" fillId="0" borderId="0" xfId="0" applyNumberFormat="1" applyFont="1" applyAlignment="1"/>
    <xf numFmtId="0" fontId="7" fillId="0" borderId="0" xfId="0" applyNumberFormat="1" applyFont="1"/>
    <xf numFmtId="0" fontId="7" fillId="0" borderId="0" xfId="0" applyNumberFormat="1" applyFont="1"/>
    <xf numFmtId="0" fontId="8" fillId="0" borderId="0" xfId="0" applyNumberFormat="1" applyFont="1"/>
    <xf numFmtId="0" fontId="2" fillId="0" borderId="0" xfId="0" applyNumberFormat="1" applyFont="1" applyAlignment="1"/>
    <xf numFmtId="0" fontId="2" fillId="0" borderId="0" xfId="0" applyNumberFormat="1" applyFont="1"/>
    <xf numFmtId="0" fontId="0" fillId="0" borderId="0" xfId="0" applyNumberFormat="1"/>
    <xf numFmtId="0" fontId="0" fillId="2" borderId="0" xfId="0" applyNumberFormat="1" applyFill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181" formatCode="mmm/yyyy"/>
    </dxf>
    <dxf>
      <font>
        <name val="Calibri"/>
        <scheme val="minor"/>
      </font>
    </dxf>
    <dxf>
      <font>
        <name val="Calibri"/>
        <scheme val="minor"/>
      </font>
      <numFmt numFmtId="0" formatCode="General"/>
    </dxf>
    <dxf>
      <font>
        <name val="Calibri"/>
        <scheme val="minor"/>
      </font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"Count of Like_ID"</c:f>
              <c:strCache>
                <c:ptCount val="1"/>
                <c:pt idx="0">
                  <c:v>Count of Like_ID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16-09-2024","19-09-2024","29-09-2024","01-10-2024","07-10-2024","08-10-2024","10-10-2024","17-10-2024","22-10-2024","27-10-2024","31-10-2024","12-11-2024","13-11-2024","20-11-2024","21-11-2024","22-11-2024","25-11-2024","28-11-2024","30-11-2024","03-12-2024","04-12-2024","07-12-2024","13-12-2024","17-12-2024","21-12-2024","02-01-2025","03-01-2025","08-01-2025","13-01-2025","17-01-2025","18-01-2025","19-01-2025","21-01-2025","25-01-2025","29-01-2025","03-02-2025","05-02-2025","06-02-2025","12-02-2025","15-02-2025","16-02-2025","17-02-2025","19-02-2025","27-02-2025","28-02-2025","01-03-2025","06-03-2025","12-03-2025","13-03-2025","20-03-2025","21-03-2025","25-03-2025","27-03-2025","31-03-2025","03-04-2025","09-04-2025","11-04-2025","12-04-2025","13-04-2025","14-04-2025","28-04-2025","29-04-2025","02-05-2025","04-05-2025","08-05-2025","10-05-2025","11-05-2025","17-05-2025","24-05-2025","27-05-2025","04-06-2025","05-06-2025","07-06-2025","14-06-2025","25-06-2025","27-06-2025","03-07-2025","04-07-2025","09-07-2025","12-07-2025","06-08-2025","11-08-2025","18-08-2025","19-08-2025","22-08-2025","04-09-2025","05-09-2025","10-09-2025","(blank)"}</c:f>
              <c:strCache>
                <c:ptCount val="89"/>
                <c:pt idx="0">
                  <c:v>16-09-2024</c:v>
                </c:pt>
                <c:pt idx="1">
                  <c:v>19-09-2024</c:v>
                </c:pt>
                <c:pt idx="2">
                  <c:v>29-09-2024</c:v>
                </c:pt>
                <c:pt idx="3">
                  <c:v>01-10-2024</c:v>
                </c:pt>
                <c:pt idx="4">
                  <c:v>07-10-2024</c:v>
                </c:pt>
                <c:pt idx="5">
                  <c:v>08-10-2024</c:v>
                </c:pt>
                <c:pt idx="6">
                  <c:v>10-10-2024</c:v>
                </c:pt>
                <c:pt idx="7">
                  <c:v>17-10-2024</c:v>
                </c:pt>
                <c:pt idx="8">
                  <c:v>22-10-2024</c:v>
                </c:pt>
                <c:pt idx="9">
                  <c:v>27-10-2024</c:v>
                </c:pt>
                <c:pt idx="10">
                  <c:v>31-10-2024</c:v>
                </c:pt>
                <c:pt idx="11">
                  <c:v>12-11-2024</c:v>
                </c:pt>
                <c:pt idx="12">
                  <c:v>13-11-2024</c:v>
                </c:pt>
                <c:pt idx="13">
                  <c:v>20-11-2024</c:v>
                </c:pt>
                <c:pt idx="14">
                  <c:v>21-11-2024</c:v>
                </c:pt>
                <c:pt idx="15">
                  <c:v>22-11-2024</c:v>
                </c:pt>
                <c:pt idx="16">
                  <c:v>25-11-2024</c:v>
                </c:pt>
                <c:pt idx="17">
                  <c:v>28-11-2024</c:v>
                </c:pt>
                <c:pt idx="18">
                  <c:v>30-11-2024</c:v>
                </c:pt>
                <c:pt idx="19">
                  <c:v>03-12-2024</c:v>
                </c:pt>
                <c:pt idx="20">
                  <c:v>04-12-2024</c:v>
                </c:pt>
                <c:pt idx="21">
                  <c:v>07-12-2024</c:v>
                </c:pt>
                <c:pt idx="22">
                  <c:v>13-12-2024</c:v>
                </c:pt>
                <c:pt idx="23">
                  <c:v>17-12-2024</c:v>
                </c:pt>
                <c:pt idx="24">
                  <c:v>21-12-2024</c:v>
                </c:pt>
                <c:pt idx="25">
                  <c:v>02-01-2025</c:v>
                </c:pt>
                <c:pt idx="26">
                  <c:v>03-01-2025</c:v>
                </c:pt>
                <c:pt idx="27">
                  <c:v>08-01-2025</c:v>
                </c:pt>
                <c:pt idx="28">
                  <c:v>13-01-2025</c:v>
                </c:pt>
                <c:pt idx="29">
                  <c:v>17-01-2025</c:v>
                </c:pt>
                <c:pt idx="30">
                  <c:v>18-01-2025</c:v>
                </c:pt>
                <c:pt idx="31">
                  <c:v>19-01-2025</c:v>
                </c:pt>
                <c:pt idx="32">
                  <c:v>21-01-2025</c:v>
                </c:pt>
                <c:pt idx="33">
                  <c:v>25-01-2025</c:v>
                </c:pt>
                <c:pt idx="34">
                  <c:v>29-01-2025</c:v>
                </c:pt>
                <c:pt idx="35">
                  <c:v>03-02-2025</c:v>
                </c:pt>
                <c:pt idx="36">
                  <c:v>05-02-2025</c:v>
                </c:pt>
                <c:pt idx="37">
                  <c:v>06-02-2025</c:v>
                </c:pt>
                <c:pt idx="38">
                  <c:v>12-02-2025</c:v>
                </c:pt>
                <c:pt idx="39">
                  <c:v>15-02-2025</c:v>
                </c:pt>
                <c:pt idx="40">
                  <c:v>16-02-2025</c:v>
                </c:pt>
                <c:pt idx="41">
                  <c:v>17-02-2025</c:v>
                </c:pt>
                <c:pt idx="42">
                  <c:v>19-02-2025</c:v>
                </c:pt>
                <c:pt idx="43">
                  <c:v>27-02-2025</c:v>
                </c:pt>
                <c:pt idx="44">
                  <c:v>28-02-2025</c:v>
                </c:pt>
                <c:pt idx="45">
                  <c:v>01-03-2025</c:v>
                </c:pt>
                <c:pt idx="46">
                  <c:v>06-03-2025</c:v>
                </c:pt>
                <c:pt idx="47">
                  <c:v>12-03-2025</c:v>
                </c:pt>
                <c:pt idx="48">
                  <c:v>13-03-2025</c:v>
                </c:pt>
                <c:pt idx="49">
                  <c:v>20-03-2025</c:v>
                </c:pt>
                <c:pt idx="50">
                  <c:v>21-03-2025</c:v>
                </c:pt>
                <c:pt idx="51">
                  <c:v>25-03-2025</c:v>
                </c:pt>
                <c:pt idx="52">
                  <c:v>27-03-2025</c:v>
                </c:pt>
                <c:pt idx="53">
                  <c:v>31-03-2025</c:v>
                </c:pt>
                <c:pt idx="54">
                  <c:v>03-04-2025</c:v>
                </c:pt>
                <c:pt idx="55">
                  <c:v>09-04-2025</c:v>
                </c:pt>
                <c:pt idx="56">
                  <c:v>11-04-2025</c:v>
                </c:pt>
                <c:pt idx="57">
                  <c:v>12-04-2025</c:v>
                </c:pt>
                <c:pt idx="58">
                  <c:v>13-04-2025</c:v>
                </c:pt>
                <c:pt idx="59">
                  <c:v>14-04-2025</c:v>
                </c:pt>
                <c:pt idx="60">
                  <c:v>28-04-2025</c:v>
                </c:pt>
                <c:pt idx="61">
                  <c:v>29-04-2025</c:v>
                </c:pt>
                <c:pt idx="62">
                  <c:v>02-05-2025</c:v>
                </c:pt>
                <c:pt idx="63">
                  <c:v>04-05-2025</c:v>
                </c:pt>
                <c:pt idx="64">
                  <c:v>08-05-2025</c:v>
                </c:pt>
                <c:pt idx="65">
                  <c:v>10-05-2025</c:v>
                </c:pt>
                <c:pt idx="66">
                  <c:v>11-05-2025</c:v>
                </c:pt>
                <c:pt idx="67">
                  <c:v>17-05-2025</c:v>
                </c:pt>
                <c:pt idx="68">
                  <c:v>24-05-2025</c:v>
                </c:pt>
                <c:pt idx="69">
                  <c:v>27-05-2025</c:v>
                </c:pt>
                <c:pt idx="70">
                  <c:v>04-06-2025</c:v>
                </c:pt>
                <c:pt idx="71">
                  <c:v>05-06-2025</c:v>
                </c:pt>
                <c:pt idx="72">
                  <c:v>07-06-2025</c:v>
                </c:pt>
                <c:pt idx="73">
                  <c:v>14-06-2025</c:v>
                </c:pt>
                <c:pt idx="74">
                  <c:v>25-06-2025</c:v>
                </c:pt>
                <c:pt idx="75">
                  <c:v>27-06-2025</c:v>
                </c:pt>
                <c:pt idx="76">
                  <c:v>03-07-2025</c:v>
                </c:pt>
                <c:pt idx="77">
                  <c:v>04-07-2025</c:v>
                </c:pt>
                <c:pt idx="78">
                  <c:v>09-07-2025</c:v>
                </c:pt>
                <c:pt idx="79">
                  <c:v>12-07-2025</c:v>
                </c:pt>
                <c:pt idx="80">
                  <c:v>06-08-2025</c:v>
                </c:pt>
                <c:pt idx="81">
                  <c:v>11-08-2025</c:v>
                </c:pt>
                <c:pt idx="82">
                  <c:v>18-08-2025</c:v>
                </c:pt>
                <c:pt idx="83">
                  <c:v>19-08-2025</c:v>
                </c:pt>
                <c:pt idx="84">
                  <c:v>22-08-2025</c:v>
                </c:pt>
                <c:pt idx="85">
                  <c:v>04-09-2025</c:v>
                </c:pt>
                <c:pt idx="86">
                  <c:v>05-09-2025</c:v>
                </c:pt>
                <c:pt idx="87">
                  <c:v>10-09-2025</c:v>
                </c:pt>
                <c:pt idx="88">
                  <c:v>(blank)</c:v>
                </c:pt>
              </c:strCache>
            </c:strRef>
          </c:cat>
          <c:val>
            <c:numRef>
              <c:f>{1,3,1,2,1,1,1,1,1,1,1,1,1,1,1,1,2,2,1,1,1,2,1,1,1,1,1,2,1,1,1,1,1,1,1,1,1,1,1,2,1,1,1,1,1,1,1,1,1,2,1,1,1,1,1,1,1,1,1,2,1,1,1,1,1,1,1,1,1,2,1,1,1,1,1,1,1,1,1,1,1,1,1,1,2,1,1,1,50}</c:f>
              <c:numCache>
                <c:formatCode>General</c:formatCode>
                <c:ptCount val="8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"Count of Post_ID"</c:f>
              <c:strCache>
                <c:ptCount val="1"/>
                <c:pt idx="0">
                  <c:v>Count of Post_ID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16-09-2024","19-09-2024","29-09-2024","01-10-2024","07-10-2024","08-10-2024","10-10-2024","17-10-2024","22-10-2024","27-10-2024","31-10-2024","12-11-2024","13-11-2024","20-11-2024","21-11-2024","22-11-2024","25-11-2024","28-11-2024","30-11-2024","03-12-2024","04-12-2024","07-12-2024","13-12-2024","17-12-2024","21-12-2024","02-01-2025","03-01-2025","08-01-2025","13-01-2025","17-01-2025","18-01-2025","19-01-2025","21-01-2025","25-01-2025","29-01-2025","03-02-2025","05-02-2025","06-02-2025","12-02-2025","15-02-2025","16-02-2025","17-02-2025","19-02-2025","27-02-2025","28-02-2025","01-03-2025","06-03-2025","12-03-2025","13-03-2025","20-03-2025","21-03-2025","25-03-2025","27-03-2025","31-03-2025","03-04-2025","09-04-2025","11-04-2025","12-04-2025","13-04-2025","14-04-2025","28-04-2025","29-04-2025","02-05-2025","04-05-2025","08-05-2025","10-05-2025","11-05-2025","17-05-2025","24-05-2025","27-05-2025","04-06-2025","05-06-2025","07-06-2025","14-06-2025","25-06-2025","27-06-2025","03-07-2025","04-07-2025","09-07-2025","12-07-2025","06-08-2025","11-08-2025","18-08-2025","19-08-2025","22-08-2025","04-09-2025","05-09-2025","10-09-2025","(blank)"}</c:f>
              <c:strCache>
                <c:ptCount val="89"/>
                <c:pt idx="0">
                  <c:v>16-09-2024</c:v>
                </c:pt>
                <c:pt idx="1">
                  <c:v>19-09-2024</c:v>
                </c:pt>
                <c:pt idx="2">
                  <c:v>29-09-2024</c:v>
                </c:pt>
                <c:pt idx="3">
                  <c:v>01-10-2024</c:v>
                </c:pt>
                <c:pt idx="4">
                  <c:v>07-10-2024</c:v>
                </c:pt>
                <c:pt idx="5">
                  <c:v>08-10-2024</c:v>
                </c:pt>
                <c:pt idx="6">
                  <c:v>10-10-2024</c:v>
                </c:pt>
                <c:pt idx="7">
                  <c:v>17-10-2024</c:v>
                </c:pt>
                <c:pt idx="8">
                  <c:v>22-10-2024</c:v>
                </c:pt>
                <c:pt idx="9">
                  <c:v>27-10-2024</c:v>
                </c:pt>
                <c:pt idx="10">
                  <c:v>31-10-2024</c:v>
                </c:pt>
                <c:pt idx="11">
                  <c:v>12-11-2024</c:v>
                </c:pt>
                <c:pt idx="12">
                  <c:v>13-11-2024</c:v>
                </c:pt>
                <c:pt idx="13">
                  <c:v>20-11-2024</c:v>
                </c:pt>
                <c:pt idx="14">
                  <c:v>21-11-2024</c:v>
                </c:pt>
                <c:pt idx="15">
                  <c:v>22-11-2024</c:v>
                </c:pt>
                <c:pt idx="16">
                  <c:v>25-11-2024</c:v>
                </c:pt>
                <c:pt idx="17">
                  <c:v>28-11-2024</c:v>
                </c:pt>
                <c:pt idx="18">
                  <c:v>30-11-2024</c:v>
                </c:pt>
                <c:pt idx="19">
                  <c:v>03-12-2024</c:v>
                </c:pt>
                <c:pt idx="20">
                  <c:v>04-12-2024</c:v>
                </c:pt>
                <c:pt idx="21">
                  <c:v>07-12-2024</c:v>
                </c:pt>
                <c:pt idx="22">
                  <c:v>13-12-2024</c:v>
                </c:pt>
                <c:pt idx="23">
                  <c:v>17-12-2024</c:v>
                </c:pt>
                <c:pt idx="24">
                  <c:v>21-12-2024</c:v>
                </c:pt>
                <c:pt idx="25">
                  <c:v>02-01-2025</c:v>
                </c:pt>
                <c:pt idx="26">
                  <c:v>03-01-2025</c:v>
                </c:pt>
                <c:pt idx="27">
                  <c:v>08-01-2025</c:v>
                </c:pt>
                <c:pt idx="28">
                  <c:v>13-01-2025</c:v>
                </c:pt>
                <c:pt idx="29">
                  <c:v>17-01-2025</c:v>
                </c:pt>
                <c:pt idx="30">
                  <c:v>18-01-2025</c:v>
                </c:pt>
                <c:pt idx="31">
                  <c:v>19-01-2025</c:v>
                </c:pt>
                <c:pt idx="32">
                  <c:v>21-01-2025</c:v>
                </c:pt>
                <c:pt idx="33">
                  <c:v>25-01-2025</c:v>
                </c:pt>
                <c:pt idx="34">
                  <c:v>29-01-2025</c:v>
                </c:pt>
                <c:pt idx="35">
                  <c:v>03-02-2025</c:v>
                </c:pt>
                <c:pt idx="36">
                  <c:v>05-02-2025</c:v>
                </c:pt>
                <c:pt idx="37">
                  <c:v>06-02-2025</c:v>
                </c:pt>
                <c:pt idx="38">
                  <c:v>12-02-2025</c:v>
                </c:pt>
                <c:pt idx="39">
                  <c:v>15-02-2025</c:v>
                </c:pt>
                <c:pt idx="40">
                  <c:v>16-02-2025</c:v>
                </c:pt>
                <c:pt idx="41">
                  <c:v>17-02-2025</c:v>
                </c:pt>
                <c:pt idx="42">
                  <c:v>19-02-2025</c:v>
                </c:pt>
                <c:pt idx="43">
                  <c:v>27-02-2025</c:v>
                </c:pt>
                <c:pt idx="44">
                  <c:v>28-02-2025</c:v>
                </c:pt>
                <c:pt idx="45">
                  <c:v>01-03-2025</c:v>
                </c:pt>
                <c:pt idx="46">
                  <c:v>06-03-2025</c:v>
                </c:pt>
                <c:pt idx="47">
                  <c:v>12-03-2025</c:v>
                </c:pt>
                <c:pt idx="48">
                  <c:v>13-03-2025</c:v>
                </c:pt>
                <c:pt idx="49">
                  <c:v>20-03-2025</c:v>
                </c:pt>
                <c:pt idx="50">
                  <c:v>21-03-2025</c:v>
                </c:pt>
                <c:pt idx="51">
                  <c:v>25-03-2025</c:v>
                </c:pt>
                <c:pt idx="52">
                  <c:v>27-03-2025</c:v>
                </c:pt>
                <c:pt idx="53">
                  <c:v>31-03-2025</c:v>
                </c:pt>
                <c:pt idx="54">
                  <c:v>03-04-2025</c:v>
                </c:pt>
                <c:pt idx="55">
                  <c:v>09-04-2025</c:v>
                </c:pt>
                <c:pt idx="56">
                  <c:v>11-04-2025</c:v>
                </c:pt>
                <c:pt idx="57">
                  <c:v>12-04-2025</c:v>
                </c:pt>
                <c:pt idx="58">
                  <c:v>13-04-2025</c:v>
                </c:pt>
                <c:pt idx="59">
                  <c:v>14-04-2025</c:v>
                </c:pt>
                <c:pt idx="60">
                  <c:v>28-04-2025</c:v>
                </c:pt>
                <c:pt idx="61">
                  <c:v>29-04-2025</c:v>
                </c:pt>
                <c:pt idx="62">
                  <c:v>02-05-2025</c:v>
                </c:pt>
                <c:pt idx="63">
                  <c:v>04-05-2025</c:v>
                </c:pt>
                <c:pt idx="64">
                  <c:v>08-05-2025</c:v>
                </c:pt>
                <c:pt idx="65">
                  <c:v>10-05-2025</c:v>
                </c:pt>
                <c:pt idx="66">
                  <c:v>11-05-2025</c:v>
                </c:pt>
                <c:pt idx="67">
                  <c:v>17-05-2025</c:v>
                </c:pt>
                <c:pt idx="68">
                  <c:v>24-05-2025</c:v>
                </c:pt>
                <c:pt idx="69">
                  <c:v>27-05-2025</c:v>
                </c:pt>
                <c:pt idx="70">
                  <c:v>04-06-2025</c:v>
                </c:pt>
                <c:pt idx="71">
                  <c:v>05-06-2025</c:v>
                </c:pt>
                <c:pt idx="72">
                  <c:v>07-06-2025</c:v>
                </c:pt>
                <c:pt idx="73">
                  <c:v>14-06-2025</c:v>
                </c:pt>
                <c:pt idx="74">
                  <c:v>25-06-2025</c:v>
                </c:pt>
                <c:pt idx="75">
                  <c:v>27-06-2025</c:v>
                </c:pt>
                <c:pt idx="76">
                  <c:v>03-07-2025</c:v>
                </c:pt>
                <c:pt idx="77">
                  <c:v>04-07-2025</c:v>
                </c:pt>
                <c:pt idx="78">
                  <c:v>09-07-2025</c:v>
                </c:pt>
                <c:pt idx="79">
                  <c:v>12-07-2025</c:v>
                </c:pt>
                <c:pt idx="80">
                  <c:v>06-08-2025</c:v>
                </c:pt>
                <c:pt idx="81">
                  <c:v>11-08-2025</c:v>
                </c:pt>
                <c:pt idx="82">
                  <c:v>18-08-2025</c:v>
                </c:pt>
                <c:pt idx="83">
                  <c:v>19-08-2025</c:v>
                </c:pt>
                <c:pt idx="84">
                  <c:v>22-08-2025</c:v>
                </c:pt>
                <c:pt idx="85">
                  <c:v>04-09-2025</c:v>
                </c:pt>
                <c:pt idx="86">
                  <c:v>05-09-2025</c:v>
                </c:pt>
                <c:pt idx="87">
                  <c:v>10-09-2025</c:v>
                </c:pt>
                <c:pt idx="88">
                  <c:v>(blank)</c:v>
                </c:pt>
              </c:strCache>
            </c:strRef>
          </c:cat>
          <c:val>
            <c:numRef>
              <c:f>{1,3,1,2,1,1,1,1,1,1,1,1,1,1,1,1,2,2,1,1,1,2,1,1,1,1,1,2,1,1,1,1,1,1,1,1,1,1,1,2,1,1,1,1,1,1,1,1,1,2,1,1,1,1,1,1,1,1,1,2,1,1,1,1,1,1,1,1,1,2,1,1,1,1,1,1,1,1,1,1,1,1,1,1,2,1,1,1,0}</c:f>
              <c:numCache>
                <c:formatCode>General</c:formatCode>
                <c:ptCount val="8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"Count of Comment_ID"</c:f>
              <c:strCache>
                <c:ptCount val="1"/>
                <c:pt idx="0">
                  <c:v>Count of Comment_ID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16-09-2024","19-09-2024","29-09-2024","01-10-2024","07-10-2024","08-10-2024","10-10-2024","17-10-2024","22-10-2024","27-10-2024","31-10-2024","12-11-2024","13-11-2024","20-11-2024","21-11-2024","22-11-2024","25-11-2024","28-11-2024","30-11-2024","03-12-2024","04-12-2024","07-12-2024","13-12-2024","17-12-2024","21-12-2024","02-01-2025","03-01-2025","08-01-2025","13-01-2025","17-01-2025","18-01-2025","19-01-2025","21-01-2025","25-01-2025","29-01-2025","03-02-2025","05-02-2025","06-02-2025","12-02-2025","15-02-2025","16-02-2025","17-02-2025","19-02-2025","27-02-2025","28-02-2025","01-03-2025","06-03-2025","12-03-2025","13-03-2025","20-03-2025","21-03-2025","25-03-2025","27-03-2025","31-03-2025","03-04-2025","09-04-2025","11-04-2025","12-04-2025","13-04-2025","14-04-2025","28-04-2025","29-04-2025","02-05-2025","04-05-2025","08-05-2025","10-05-2025","11-05-2025","17-05-2025","24-05-2025","27-05-2025","04-06-2025","05-06-2025","07-06-2025","14-06-2025","25-06-2025","27-06-2025","03-07-2025","04-07-2025","09-07-2025","12-07-2025","06-08-2025","11-08-2025","18-08-2025","19-08-2025","22-08-2025","04-09-2025","05-09-2025","10-09-2025","(blank)"}</c:f>
              <c:strCache>
                <c:ptCount val="89"/>
                <c:pt idx="0">
                  <c:v>16-09-2024</c:v>
                </c:pt>
                <c:pt idx="1">
                  <c:v>19-09-2024</c:v>
                </c:pt>
                <c:pt idx="2">
                  <c:v>29-09-2024</c:v>
                </c:pt>
                <c:pt idx="3">
                  <c:v>01-10-2024</c:v>
                </c:pt>
                <c:pt idx="4">
                  <c:v>07-10-2024</c:v>
                </c:pt>
                <c:pt idx="5">
                  <c:v>08-10-2024</c:v>
                </c:pt>
                <c:pt idx="6">
                  <c:v>10-10-2024</c:v>
                </c:pt>
                <c:pt idx="7">
                  <c:v>17-10-2024</c:v>
                </c:pt>
                <c:pt idx="8">
                  <c:v>22-10-2024</c:v>
                </c:pt>
                <c:pt idx="9">
                  <c:v>27-10-2024</c:v>
                </c:pt>
                <c:pt idx="10">
                  <c:v>31-10-2024</c:v>
                </c:pt>
                <c:pt idx="11">
                  <c:v>12-11-2024</c:v>
                </c:pt>
                <c:pt idx="12">
                  <c:v>13-11-2024</c:v>
                </c:pt>
                <c:pt idx="13">
                  <c:v>20-11-2024</c:v>
                </c:pt>
                <c:pt idx="14">
                  <c:v>21-11-2024</c:v>
                </c:pt>
                <c:pt idx="15">
                  <c:v>22-11-2024</c:v>
                </c:pt>
                <c:pt idx="16">
                  <c:v>25-11-2024</c:v>
                </c:pt>
                <c:pt idx="17">
                  <c:v>28-11-2024</c:v>
                </c:pt>
                <c:pt idx="18">
                  <c:v>30-11-2024</c:v>
                </c:pt>
                <c:pt idx="19">
                  <c:v>03-12-2024</c:v>
                </c:pt>
                <c:pt idx="20">
                  <c:v>04-12-2024</c:v>
                </c:pt>
                <c:pt idx="21">
                  <c:v>07-12-2024</c:v>
                </c:pt>
                <c:pt idx="22">
                  <c:v>13-12-2024</c:v>
                </c:pt>
                <c:pt idx="23">
                  <c:v>17-12-2024</c:v>
                </c:pt>
                <c:pt idx="24">
                  <c:v>21-12-2024</c:v>
                </c:pt>
                <c:pt idx="25">
                  <c:v>02-01-2025</c:v>
                </c:pt>
                <c:pt idx="26">
                  <c:v>03-01-2025</c:v>
                </c:pt>
                <c:pt idx="27">
                  <c:v>08-01-2025</c:v>
                </c:pt>
                <c:pt idx="28">
                  <c:v>13-01-2025</c:v>
                </c:pt>
                <c:pt idx="29">
                  <c:v>17-01-2025</c:v>
                </c:pt>
                <c:pt idx="30">
                  <c:v>18-01-2025</c:v>
                </c:pt>
                <c:pt idx="31">
                  <c:v>19-01-2025</c:v>
                </c:pt>
                <c:pt idx="32">
                  <c:v>21-01-2025</c:v>
                </c:pt>
                <c:pt idx="33">
                  <c:v>25-01-2025</c:v>
                </c:pt>
                <c:pt idx="34">
                  <c:v>29-01-2025</c:v>
                </c:pt>
                <c:pt idx="35">
                  <c:v>03-02-2025</c:v>
                </c:pt>
                <c:pt idx="36">
                  <c:v>05-02-2025</c:v>
                </c:pt>
                <c:pt idx="37">
                  <c:v>06-02-2025</c:v>
                </c:pt>
                <c:pt idx="38">
                  <c:v>12-02-2025</c:v>
                </c:pt>
                <c:pt idx="39">
                  <c:v>15-02-2025</c:v>
                </c:pt>
                <c:pt idx="40">
                  <c:v>16-02-2025</c:v>
                </c:pt>
                <c:pt idx="41">
                  <c:v>17-02-2025</c:v>
                </c:pt>
                <c:pt idx="42">
                  <c:v>19-02-2025</c:v>
                </c:pt>
                <c:pt idx="43">
                  <c:v>27-02-2025</c:v>
                </c:pt>
                <c:pt idx="44">
                  <c:v>28-02-2025</c:v>
                </c:pt>
                <c:pt idx="45">
                  <c:v>01-03-2025</c:v>
                </c:pt>
                <c:pt idx="46">
                  <c:v>06-03-2025</c:v>
                </c:pt>
                <c:pt idx="47">
                  <c:v>12-03-2025</c:v>
                </c:pt>
                <c:pt idx="48">
                  <c:v>13-03-2025</c:v>
                </c:pt>
                <c:pt idx="49">
                  <c:v>20-03-2025</c:v>
                </c:pt>
                <c:pt idx="50">
                  <c:v>21-03-2025</c:v>
                </c:pt>
                <c:pt idx="51">
                  <c:v>25-03-2025</c:v>
                </c:pt>
                <c:pt idx="52">
                  <c:v>27-03-2025</c:v>
                </c:pt>
                <c:pt idx="53">
                  <c:v>31-03-2025</c:v>
                </c:pt>
                <c:pt idx="54">
                  <c:v>03-04-2025</c:v>
                </c:pt>
                <c:pt idx="55">
                  <c:v>09-04-2025</c:v>
                </c:pt>
                <c:pt idx="56">
                  <c:v>11-04-2025</c:v>
                </c:pt>
                <c:pt idx="57">
                  <c:v>12-04-2025</c:v>
                </c:pt>
                <c:pt idx="58">
                  <c:v>13-04-2025</c:v>
                </c:pt>
                <c:pt idx="59">
                  <c:v>14-04-2025</c:v>
                </c:pt>
                <c:pt idx="60">
                  <c:v>28-04-2025</c:v>
                </c:pt>
                <c:pt idx="61">
                  <c:v>29-04-2025</c:v>
                </c:pt>
                <c:pt idx="62">
                  <c:v>02-05-2025</c:v>
                </c:pt>
                <c:pt idx="63">
                  <c:v>04-05-2025</c:v>
                </c:pt>
                <c:pt idx="64">
                  <c:v>08-05-2025</c:v>
                </c:pt>
                <c:pt idx="65">
                  <c:v>10-05-2025</c:v>
                </c:pt>
                <c:pt idx="66">
                  <c:v>11-05-2025</c:v>
                </c:pt>
                <c:pt idx="67">
                  <c:v>17-05-2025</c:v>
                </c:pt>
                <c:pt idx="68">
                  <c:v>24-05-2025</c:v>
                </c:pt>
                <c:pt idx="69">
                  <c:v>27-05-2025</c:v>
                </c:pt>
                <c:pt idx="70">
                  <c:v>04-06-2025</c:v>
                </c:pt>
                <c:pt idx="71">
                  <c:v>05-06-2025</c:v>
                </c:pt>
                <c:pt idx="72">
                  <c:v>07-06-2025</c:v>
                </c:pt>
                <c:pt idx="73">
                  <c:v>14-06-2025</c:v>
                </c:pt>
                <c:pt idx="74">
                  <c:v>25-06-2025</c:v>
                </c:pt>
                <c:pt idx="75">
                  <c:v>27-06-2025</c:v>
                </c:pt>
                <c:pt idx="76">
                  <c:v>03-07-2025</c:v>
                </c:pt>
                <c:pt idx="77">
                  <c:v>04-07-2025</c:v>
                </c:pt>
                <c:pt idx="78">
                  <c:v>09-07-2025</c:v>
                </c:pt>
                <c:pt idx="79">
                  <c:v>12-07-2025</c:v>
                </c:pt>
                <c:pt idx="80">
                  <c:v>06-08-2025</c:v>
                </c:pt>
                <c:pt idx="81">
                  <c:v>11-08-2025</c:v>
                </c:pt>
                <c:pt idx="82">
                  <c:v>18-08-2025</c:v>
                </c:pt>
                <c:pt idx="83">
                  <c:v>19-08-2025</c:v>
                </c:pt>
                <c:pt idx="84">
                  <c:v>22-08-2025</c:v>
                </c:pt>
                <c:pt idx="85">
                  <c:v>04-09-2025</c:v>
                </c:pt>
                <c:pt idx="86">
                  <c:v>05-09-2025</c:v>
                </c:pt>
                <c:pt idx="87">
                  <c:v>10-09-2025</c:v>
                </c:pt>
                <c:pt idx="88">
                  <c:v>(blank)</c:v>
                </c:pt>
              </c:strCache>
            </c:strRef>
          </c:cat>
          <c:val>
            <c:numRef>
              <c:f>{1,3,1,2,1,1,1,1,1,1,1,1,1,1,1,1,2,2,1,1,1,2,1,1,1,1,1,2,1,1,1,1,1,1,1,1,1,1,1,2,1,1,1,1,1,1,1,1,1,2,1,1,1,1,1,1,1,1,1,2,1,1,1,1,1,1,1,1,1,2,1,1,1,1,1,1,1,1,1,1,1,1,1,1,2,1,1,1,20}</c:f>
              <c:numCache>
                <c:formatCode>General</c:formatCode>
                <c:ptCount val="8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65907"/>
        <c:axId val="715890469"/>
      </c:lineChart>
      <c:catAx>
        <c:axId val="486659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890469"/>
        <c:crosses val="autoZero"/>
        <c:auto val="1"/>
        <c:lblAlgn val="ctr"/>
        <c:lblOffset val="100"/>
        <c:noMultiLvlLbl val="0"/>
      </c:catAx>
      <c:valAx>
        <c:axId val="7158904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659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[social_media_excel_challenge_wb.xlsx]pivot_tables!PivotTable3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pivot_tables!$K$4:$K$82</c:f>
              <c:strCache>
                <c:ptCount val="78"/>
                <c:pt idx="0">
                  <c:v>91</c:v>
                </c:pt>
                <c:pt idx="1">
                  <c:v>63</c:v>
                </c:pt>
                <c:pt idx="2">
                  <c:v>92</c:v>
                </c:pt>
                <c:pt idx="3">
                  <c:v>73</c:v>
                </c:pt>
                <c:pt idx="4">
                  <c:v>51</c:v>
                </c:pt>
                <c:pt idx="5">
                  <c:v>46</c:v>
                </c:pt>
                <c:pt idx="6">
                  <c:v>33</c:v>
                </c:pt>
                <c:pt idx="7">
                  <c:v>7</c:v>
                </c:pt>
                <c:pt idx="8">
                  <c:v>94</c:v>
                </c:pt>
                <c:pt idx="9">
                  <c:v>93</c:v>
                </c:pt>
                <c:pt idx="10">
                  <c:v>81</c:v>
                </c:pt>
                <c:pt idx="11">
                  <c:v>80</c:v>
                </c:pt>
                <c:pt idx="12">
                  <c:v>76</c:v>
                </c:pt>
                <c:pt idx="13">
                  <c:v>75</c:v>
                </c:pt>
                <c:pt idx="14">
                  <c:v>50</c:v>
                </c:pt>
                <c:pt idx="15">
                  <c:v>39</c:v>
                </c:pt>
                <c:pt idx="16">
                  <c:v>19</c:v>
                </c:pt>
                <c:pt idx="17">
                  <c:v>10</c:v>
                </c:pt>
                <c:pt idx="18">
                  <c:v>2</c:v>
                </c:pt>
                <c:pt idx="19">
                  <c:v>98</c:v>
                </c:pt>
                <c:pt idx="20">
                  <c:v>96</c:v>
                </c:pt>
                <c:pt idx="21">
                  <c:v>87</c:v>
                </c:pt>
                <c:pt idx="22">
                  <c:v>85</c:v>
                </c:pt>
                <c:pt idx="23">
                  <c:v>79</c:v>
                </c:pt>
                <c:pt idx="24">
                  <c:v>78</c:v>
                </c:pt>
                <c:pt idx="25">
                  <c:v>77</c:v>
                </c:pt>
                <c:pt idx="26">
                  <c:v>70</c:v>
                </c:pt>
                <c:pt idx="27">
                  <c:v>68</c:v>
                </c:pt>
                <c:pt idx="28">
                  <c:v>64</c:v>
                </c:pt>
                <c:pt idx="29">
                  <c:v>59</c:v>
                </c:pt>
                <c:pt idx="30">
                  <c:v>49</c:v>
                </c:pt>
                <c:pt idx="31">
                  <c:v>42</c:v>
                </c:pt>
                <c:pt idx="32">
                  <c:v>40</c:v>
                </c:pt>
                <c:pt idx="33">
                  <c:v>37</c:v>
                </c:pt>
                <c:pt idx="34">
                  <c:v>31</c:v>
                </c:pt>
                <c:pt idx="35">
                  <c:v>21</c:v>
                </c:pt>
                <c:pt idx="36">
                  <c:v>18</c:v>
                </c:pt>
                <c:pt idx="37">
                  <c:v>16</c:v>
                </c:pt>
                <c:pt idx="38">
                  <c:v>15</c:v>
                </c:pt>
                <c:pt idx="39">
                  <c:v>14</c:v>
                </c:pt>
                <c:pt idx="40">
                  <c:v>13</c:v>
                </c:pt>
                <c:pt idx="41">
                  <c:v>8</c:v>
                </c:pt>
                <c:pt idx="42">
                  <c:v>4</c:v>
                </c:pt>
                <c:pt idx="43">
                  <c:v>99</c:v>
                </c:pt>
                <c:pt idx="44">
                  <c:v>95</c:v>
                </c:pt>
                <c:pt idx="45">
                  <c:v>90</c:v>
                </c:pt>
                <c:pt idx="46">
                  <c:v>89</c:v>
                </c:pt>
                <c:pt idx="47">
                  <c:v>84</c:v>
                </c:pt>
                <c:pt idx="48">
                  <c:v>82</c:v>
                </c:pt>
                <c:pt idx="49">
                  <c:v>72</c:v>
                </c:pt>
                <c:pt idx="50">
                  <c:v>71</c:v>
                </c:pt>
                <c:pt idx="51">
                  <c:v>69</c:v>
                </c:pt>
                <c:pt idx="52">
                  <c:v>67</c:v>
                </c:pt>
                <c:pt idx="53">
                  <c:v>65</c:v>
                </c:pt>
                <c:pt idx="54">
                  <c:v>62</c:v>
                </c:pt>
                <c:pt idx="55">
                  <c:v>60</c:v>
                </c:pt>
                <c:pt idx="56">
                  <c:v>58</c:v>
                </c:pt>
                <c:pt idx="57">
                  <c:v>57</c:v>
                </c:pt>
                <c:pt idx="58">
                  <c:v>55</c:v>
                </c:pt>
                <c:pt idx="59">
                  <c:v>52</c:v>
                </c:pt>
                <c:pt idx="60">
                  <c:v>48</c:v>
                </c:pt>
                <c:pt idx="61">
                  <c:v>47</c:v>
                </c:pt>
                <c:pt idx="62">
                  <c:v>38</c:v>
                </c:pt>
                <c:pt idx="63">
                  <c:v>35</c:v>
                </c:pt>
                <c:pt idx="64">
                  <c:v>34</c:v>
                </c:pt>
                <c:pt idx="65">
                  <c:v>30</c:v>
                </c:pt>
                <c:pt idx="66">
                  <c:v>29</c:v>
                </c:pt>
                <c:pt idx="67">
                  <c:v>28</c:v>
                </c:pt>
                <c:pt idx="68">
                  <c:v>27</c:v>
                </c:pt>
                <c:pt idx="69">
                  <c:v>26</c:v>
                </c:pt>
                <c:pt idx="70">
                  <c:v>25</c:v>
                </c:pt>
                <c:pt idx="71">
                  <c:v>24</c:v>
                </c:pt>
                <c:pt idx="72">
                  <c:v>23</c:v>
                </c:pt>
                <c:pt idx="73">
                  <c:v>22</c:v>
                </c:pt>
                <c:pt idx="74">
                  <c:v>12</c:v>
                </c:pt>
                <c:pt idx="75">
                  <c:v>11</c:v>
                </c:pt>
                <c:pt idx="76">
                  <c:v>5</c:v>
                </c:pt>
                <c:pt idx="77">
                  <c:v>3</c:v>
                </c:pt>
              </c:strCache>
            </c:strRef>
          </c:cat>
          <c:val>
            <c:numRef>
              <c:f>pivot_tables!$L$4:$L$82</c:f>
              <c:numCache>
                <c:formatCode>General</c:formatCode>
                <c:ptCount val="7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71613308"/>
        <c:axId val="539583272"/>
      </c:barChart>
      <c:catAx>
        <c:axId val="5716133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583272"/>
        <c:crosses val="autoZero"/>
        <c:auto val="1"/>
        <c:lblAlgn val="ctr"/>
        <c:lblOffset val="100"/>
        <c:noMultiLvlLbl val="0"/>
      </c:catAx>
      <c:valAx>
        <c:axId val="53958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6133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bd2bfe-2427-491b-8e72-08fefb14e28b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[social_media_excel_challenge_wb.xlsx]pivot_tables!PivotTable7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pivot_tables!$B$3</c:f>
              <c:strCache>
                <c:ptCount val="1"/>
                <c:pt idx="0">
                  <c:v>Sum of Post_ID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pivot_tables!$A$4:$A$55</c:f>
              <c:strCache>
                <c:ptCount val="51"/>
                <c:pt idx="0">
                  <c:v>Amandafurt</c:v>
                </c:pt>
                <c:pt idx="1">
                  <c:v>Andreaborough</c:v>
                </c:pt>
                <c:pt idx="2">
                  <c:v>Bushstad</c:v>
                </c:pt>
                <c:pt idx="3">
                  <c:v>Calderonbury</c:v>
                </c:pt>
                <c:pt idx="4">
                  <c:v>Christopherside</c:v>
                </c:pt>
                <c:pt idx="5">
                  <c:v>Codyview</c:v>
                </c:pt>
                <c:pt idx="6">
                  <c:v>Cruzfurt</c:v>
                </c:pt>
                <c:pt idx="7">
                  <c:v>Danielhaven</c:v>
                </c:pt>
                <c:pt idx="8">
                  <c:v>Davidville</c:v>
                </c:pt>
                <c:pt idx="9">
                  <c:v>East Jennifer</c:v>
                </c:pt>
                <c:pt idx="10">
                  <c:v>East Luisberg</c:v>
                </c:pt>
                <c:pt idx="11">
                  <c:v>East Melissaville</c:v>
                </c:pt>
                <c:pt idx="12">
                  <c:v>East Michael</c:v>
                </c:pt>
                <c:pt idx="13">
                  <c:v>East Sharontown</c:v>
                </c:pt>
                <c:pt idx="14">
                  <c:v>East Taylorfurt</c:v>
                </c:pt>
                <c:pt idx="15">
                  <c:v>East Willieton</c:v>
                </c:pt>
                <c:pt idx="16">
                  <c:v>Edwardsbury</c:v>
                </c:pt>
                <c:pt idx="17">
                  <c:v>Garciashire</c:v>
                </c:pt>
                <c:pt idx="18">
                  <c:v>Heatherland</c:v>
                </c:pt>
                <c:pt idx="19">
                  <c:v>Hollandmouth</c:v>
                </c:pt>
                <c:pt idx="20">
                  <c:v>Hunterland</c:v>
                </c:pt>
                <c:pt idx="21">
                  <c:v>Jerrychester</c:v>
                </c:pt>
                <c:pt idx="22">
                  <c:v>Josephshire</c:v>
                </c:pt>
                <c:pt idx="23">
                  <c:v>Kathyview</c:v>
                </c:pt>
                <c:pt idx="24">
                  <c:v>Kennethside</c:v>
                </c:pt>
                <c:pt idx="25">
                  <c:v>Lake Eric</c:v>
                </c:pt>
                <c:pt idx="26">
                  <c:v>Lake Nathan</c:v>
                </c:pt>
                <c:pt idx="27">
                  <c:v>Lauraberg</c:v>
                </c:pt>
                <c:pt idx="28">
                  <c:v>Leahborough</c:v>
                </c:pt>
                <c:pt idx="29">
                  <c:v>Mendezborough</c:v>
                </c:pt>
                <c:pt idx="30">
                  <c:v>Mooreshire</c:v>
                </c:pt>
                <c:pt idx="31">
                  <c:v>Morrisfurt</c:v>
                </c:pt>
                <c:pt idx="32">
                  <c:v>New Amanda</c:v>
                </c:pt>
                <c:pt idx="33">
                  <c:v>New David</c:v>
                </c:pt>
                <c:pt idx="34">
                  <c:v>New Krystal</c:v>
                </c:pt>
                <c:pt idx="35">
                  <c:v>North Amandaton</c:v>
                </c:pt>
                <c:pt idx="36">
                  <c:v>North Anna</c:v>
                </c:pt>
                <c:pt idx="37">
                  <c:v>North Benjamin</c:v>
                </c:pt>
                <c:pt idx="38">
                  <c:v>North Shawnfurt</c:v>
                </c:pt>
                <c:pt idx="39">
                  <c:v>Payneshire</c:v>
                </c:pt>
                <c:pt idx="40">
                  <c:v>Port Lanceland</c:v>
                </c:pt>
                <c:pt idx="41">
                  <c:v>Port Susanfort</c:v>
                </c:pt>
                <c:pt idx="42">
                  <c:v>Seanville</c:v>
                </c:pt>
                <c:pt idx="43">
                  <c:v>South Brendafurt</c:v>
                </c:pt>
                <c:pt idx="44">
                  <c:v>South Kylemouth</c:v>
                </c:pt>
                <c:pt idx="45">
                  <c:v>Stephenbury</c:v>
                </c:pt>
                <c:pt idx="46">
                  <c:v>Taraberg</c:v>
                </c:pt>
                <c:pt idx="47">
                  <c:v>Walterland</c:v>
                </c:pt>
                <c:pt idx="48">
                  <c:v>Watsonton</c:v>
                </c:pt>
                <c:pt idx="49">
                  <c:v>West Richardchester</c:v>
                </c:pt>
                <c:pt idx="50">
                  <c:v>(blank)</c:v>
                </c:pt>
              </c:strCache>
            </c:strRef>
          </c:cat>
          <c:val>
            <c:numRef>
              <c:f>pivot_tables!$B$4:$B$55</c:f>
              <c:numCache>
                <c:formatCode>General</c:formatCode>
                <c:ptCount val="51"/>
                <c:pt idx="0">
                  <c:v>40</c:v>
                </c:pt>
                <c:pt idx="1">
                  <c:v>14</c:v>
                </c:pt>
                <c:pt idx="2">
                  <c:v>39</c:v>
                </c:pt>
                <c:pt idx="3">
                  <c:v>22</c:v>
                </c:pt>
                <c:pt idx="4">
                  <c:v>42</c:v>
                </c:pt>
                <c:pt idx="5">
                  <c:v>26</c:v>
                </c:pt>
                <c:pt idx="6">
                  <c:v>21</c:v>
                </c:pt>
                <c:pt idx="7">
                  <c:v>20</c:v>
                </c:pt>
                <c:pt idx="8">
                  <c:v>44</c:v>
                </c:pt>
                <c:pt idx="9">
                  <c:v>2</c:v>
                </c:pt>
                <c:pt idx="10">
                  <c:v>4</c:v>
                </c:pt>
                <c:pt idx="11">
                  <c:v>36</c:v>
                </c:pt>
                <c:pt idx="12">
                  <c:v>45</c:v>
                </c:pt>
                <c:pt idx="13">
                  <c:v>33</c:v>
                </c:pt>
                <c:pt idx="14">
                  <c:v>16</c:v>
                </c:pt>
                <c:pt idx="15">
                  <c:v>37</c:v>
                </c:pt>
                <c:pt idx="16">
                  <c:v>10</c:v>
                </c:pt>
                <c:pt idx="17">
                  <c:v>9</c:v>
                </c:pt>
                <c:pt idx="18">
                  <c:v>11</c:v>
                </c:pt>
                <c:pt idx="19">
                  <c:v>24</c:v>
                </c:pt>
                <c:pt idx="20">
                  <c:v>19</c:v>
                </c:pt>
                <c:pt idx="21">
                  <c:v>12</c:v>
                </c:pt>
                <c:pt idx="22">
                  <c:v>48</c:v>
                </c:pt>
                <c:pt idx="23">
                  <c:v>17</c:v>
                </c:pt>
                <c:pt idx="24">
                  <c:v>25</c:v>
                </c:pt>
                <c:pt idx="25">
                  <c:v>23</c:v>
                </c:pt>
                <c:pt idx="26">
                  <c:v>31</c:v>
                </c:pt>
                <c:pt idx="27">
                  <c:v>28</c:v>
                </c:pt>
                <c:pt idx="28">
                  <c:v>8</c:v>
                </c:pt>
                <c:pt idx="29">
                  <c:v>47</c:v>
                </c:pt>
                <c:pt idx="30">
                  <c:v>18</c:v>
                </c:pt>
                <c:pt idx="31">
                  <c:v>15</c:v>
                </c:pt>
                <c:pt idx="32">
                  <c:v>49</c:v>
                </c:pt>
                <c:pt idx="33">
                  <c:v>41</c:v>
                </c:pt>
                <c:pt idx="34">
                  <c:v>1</c:v>
                </c:pt>
                <c:pt idx="35">
                  <c:v>32</c:v>
                </c:pt>
                <c:pt idx="36">
                  <c:v>43</c:v>
                </c:pt>
                <c:pt idx="37">
                  <c:v>29</c:v>
                </c:pt>
                <c:pt idx="38">
                  <c:v>30</c:v>
                </c:pt>
                <c:pt idx="39">
                  <c:v>6</c:v>
                </c:pt>
                <c:pt idx="40">
                  <c:v>46</c:v>
                </c:pt>
                <c:pt idx="41">
                  <c:v>35</c:v>
                </c:pt>
                <c:pt idx="42">
                  <c:v>34</c:v>
                </c:pt>
                <c:pt idx="43">
                  <c:v>38</c:v>
                </c:pt>
                <c:pt idx="44">
                  <c:v>5</c:v>
                </c:pt>
                <c:pt idx="45">
                  <c:v>13</c:v>
                </c:pt>
                <c:pt idx="46">
                  <c:v>7</c:v>
                </c:pt>
                <c:pt idx="47">
                  <c:v>27</c:v>
                </c:pt>
                <c:pt idx="48">
                  <c:v>50</c:v>
                </c:pt>
                <c:pt idx="49">
                  <c:v>3</c:v>
                </c:pt>
                <c:pt idx="50">
                  <c:v>3775</c:v>
                </c:pt>
              </c:numCache>
            </c:numRef>
          </c:val>
        </c:ser>
        <c:ser>
          <c:idx val="1"/>
          <c:order val="1"/>
          <c:tx>
            <c:strRef>
              <c:f>pivot_tables!$C$3</c:f>
              <c:strCache>
                <c:ptCount val="1"/>
                <c:pt idx="0">
                  <c:v>Sum of User_ID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pivot_tables!$A$4:$A$55</c:f>
              <c:strCache>
                <c:ptCount val="51"/>
                <c:pt idx="0">
                  <c:v>Amandafurt</c:v>
                </c:pt>
                <c:pt idx="1">
                  <c:v>Andreaborough</c:v>
                </c:pt>
                <c:pt idx="2">
                  <c:v>Bushstad</c:v>
                </c:pt>
                <c:pt idx="3">
                  <c:v>Calderonbury</c:v>
                </c:pt>
                <c:pt idx="4">
                  <c:v>Christopherside</c:v>
                </c:pt>
                <c:pt idx="5">
                  <c:v>Codyview</c:v>
                </c:pt>
                <c:pt idx="6">
                  <c:v>Cruzfurt</c:v>
                </c:pt>
                <c:pt idx="7">
                  <c:v>Danielhaven</c:v>
                </c:pt>
                <c:pt idx="8">
                  <c:v>Davidville</c:v>
                </c:pt>
                <c:pt idx="9">
                  <c:v>East Jennifer</c:v>
                </c:pt>
                <c:pt idx="10">
                  <c:v>East Luisberg</c:v>
                </c:pt>
                <c:pt idx="11">
                  <c:v>East Melissaville</c:v>
                </c:pt>
                <c:pt idx="12">
                  <c:v>East Michael</c:v>
                </c:pt>
                <c:pt idx="13">
                  <c:v>East Sharontown</c:v>
                </c:pt>
                <c:pt idx="14">
                  <c:v>East Taylorfurt</c:v>
                </c:pt>
                <c:pt idx="15">
                  <c:v>East Willieton</c:v>
                </c:pt>
                <c:pt idx="16">
                  <c:v>Edwardsbury</c:v>
                </c:pt>
                <c:pt idx="17">
                  <c:v>Garciashire</c:v>
                </c:pt>
                <c:pt idx="18">
                  <c:v>Heatherland</c:v>
                </c:pt>
                <c:pt idx="19">
                  <c:v>Hollandmouth</c:v>
                </c:pt>
                <c:pt idx="20">
                  <c:v>Hunterland</c:v>
                </c:pt>
                <c:pt idx="21">
                  <c:v>Jerrychester</c:v>
                </c:pt>
                <c:pt idx="22">
                  <c:v>Josephshire</c:v>
                </c:pt>
                <c:pt idx="23">
                  <c:v>Kathyview</c:v>
                </c:pt>
                <c:pt idx="24">
                  <c:v>Kennethside</c:v>
                </c:pt>
                <c:pt idx="25">
                  <c:v>Lake Eric</c:v>
                </c:pt>
                <c:pt idx="26">
                  <c:v>Lake Nathan</c:v>
                </c:pt>
                <c:pt idx="27">
                  <c:v>Lauraberg</c:v>
                </c:pt>
                <c:pt idx="28">
                  <c:v>Leahborough</c:v>
                </c:pt>
                <c:pt idx="29">
                  <c:v>Mendezborough</c:v>
                </c:pt>
                <c:pt idx="30">
                  <c:v>Mooreshire</c:v>
                </c:pt>
                <c:pt idx="31">
                  <c:v>Morrisfurt</c:v>
                </c:pt>
                <c:pt idx="32">
                  <c:v>New Amanda</c:v>
                </c:pt>
                <c:pt idx="33">
                  <c:v>New David</c:v>
                </c:pt>
                <c:pt idx="34">
                  <c:v>New Krystal</c:v>
                </c:pt>
                <c:pt idx="35">
                  <c:v>North Amandaton</c:v>
                </c:pt>
                <c:pt idx="36">
                  <c:v>North Anna</c:v>
                </c:pt>
                <c:pt idx="37">
                  <c:v>North Benjamin</c:v>
                </c:pt>
                <c:pt idx="38">
                  <c:v>North Shawnfurt</c:v>
                </c:pt>
                <c:pt idx="39">
                  <c:v>Payneshire</c:v>
                </c:pt>
                <c:pt idx="40">
                  <c:v>Port Lanceland</c:v>
                </c:pt>
                <c:pt idx="41">
                  <c:v>Port Susanfort</c:v>
                </c:pt>
                <c:pt idx="42">
                  <c:v>Seanville</c:v>
                </c:pt>
                <c:pt idx="43">
                  <c:v>South Brendafurt</c:v>
                </c:pt>
                <c:pt idx="44">
                  <c:v>South Kylemouth</c:v>
                </c:pt>
                <c:pt idx="45">
                  <c:v>Stephenbury</c:v>
                </c:pt>
                <c:pt idx="46">
                  <c:v>Taraberg</c:v>
                </c:pt>
                <c:pt idx="47">
                  <c:v>Walterland</c:v>
                </c:pt>
                <c:pt idx="48">
                  <c:v>Watsonton</c:v>
                </c:pt>
                <c:pt idx="49">
                  <c:v>West Richardchester</c:v>
                </c:pt>
                <c:pt idx="50">
                  <c:v>(blank)</c:v>
                </c:pt>
              </c:strCache>
            </c:strRef>
          </c:cat>
          <c:val>
            <c:numRef>
              <c:f>pivot_tables!$C$4:$C$55</c:f>
              <c:numCache>
                <c:formatCode>General</c:formatCode>
                <c:ptCount val="51"/>
                <c:pt idx="0">
                  <c:v>40</c:v>
                </c:pt>
                <c:pt idx="1">
                  <c:v>14</c:v>
                </c:pt>
                <c:pt idx="2">
                  <c:v>39</c:v>
                </c:pt>
                <c:pt idx="3">
                  <c:v>22</c:v>
                </c:pt>
                <c:pt idx="4">
                  <c:v>42</c:v>
                </c:pt>
                <c:pt idx="5">
                  <c:v>26</c:v>
                </c:pt>
                <c:pt idx="6">
                  <c:v>21</c:v>
                </c:pt>
                <c:pt idx="7">
                  <c:v>20</c:v>
                </c:pt>
                <c:pt idx="8">
                  <c:v>44</c:v>
                </c:pt>
                <c:pt idx="9">
                  <c:v>2</c:v>
                </c:pt>
                <c:pt idx="10">
                  <c:v>4</c:v>
                </c:pt>
                <c:pt idx="11">
                  <c:v>36</c:v>
                </c:pt>
                <c:pt idx="12">
                  <c:v>45</c:v>
                </c:pt>
                <c:pt idx="13">
                  <c:v>33</c:v>
                </c:pt>
                <c:pt idx="14">
                  <c:v>16</c:v>
                </c:pt>
                <c:pt idx="15">
                  <c:v>37</c:v>
                </c:pt>
                <c:pt idx="16">
                  <c:v>10</c:v>
                </c:pt>
                <c:pt idx="17">
                  <c:v>9</c:v>
                </c:pt>
                <c:pt idx="18">
                  <c:v>11</c:v>
                </c:pt>
                <c:pt idx="19">
                  <c:v>24</c:v>
                </c:pt>
                <c:pt idx="20">
                  <c:v>19</c:v>
                </c:pt>
                <c:pt idx="21">
                  <c:v>12</c:v>
                </c:pt>
                <c:pt idx="22">
                  <c:v>48</c:v>
                </c:pt>
                <c:pt idx="23">
                  <c:v>17</c:v>
                </c:pt>
                <c:pt idx="24">
                  <c:v>25</c:v>
                </c:pt>
                <c:pt idx="25">
                  <c:v>23</c:v>
                </c:pt>
                <c:pt idx="26">
                  <c:v>31</c:v>
                </c:pt>
                <c:pt idx="27">
                  <c:v>28</c:v>
                </c:pt>
                <c:pt idx="28">
                  <c:v>8</c:v>
                </c:pt>
                <c:pt idx="29">
                  <c:v>47</c:v>
                </c:pt>
                <c:pt idx="30">
                  <c:v>18</c:v>
                </c:pt>
                <c:pt idx="31">
                  <c:v>15</c:v>
                </c:pt>
                <c:pt idx="32">
                  <c:v>49</c:v>
                </c:pt>
                <c:pt idx="33">
                  <c:v>41</c:v>
                </c:pt>
                <c:pt idx="34">
                  <c:v>1</c:v>
                </c:pt>
                <c:pt idx="35">
                  <c:v>32</c:v>
                </c:pt>
                <c:pt idx="36">
                  <c:v>43</c:v>
                </c:pt>
                <c:pt idx="37">
                  <c:v>29</c:v>
                </c:pt>
                <c:pt idx="38">
                  <c:v>30</c:v>
                </c:pt>
                <c:pt idx="39">
                  <c:v>6</c:v>
                </c:pt>
                <c:pt idx="40">
                  <c:v>46</c:v>
                </c:pt>
                <c:pt idx="41">
                  <c:v>35</c:v>
                </c:pt>
                <c:pt idx="42">
                  <c:v>34</c:v>
                </c:pt>
                <c:pt idx="43">
                  <c:v>38</c:v>
                </c:pt>
                <c:pt idx="44">
                  <c:v>5</c:v>
                </c:pt>
                <c:pt idx="45">
                  <c:v>13</c:v>
                </c:pt>
                <c:pt idx="46">
                  <c:v>7</c:v>
                </c:pt>
                <c:pt idx="47">
                  <c:v>27</c:v>
                </c:pt>
                <c:pt idx="48">
                  <c:v>50</c:v>
                </c:pt>
                <c:pt idx="49">
                  <c:v>3</c:v>
                </c:pt>
              </c:numCache>
            </c:numRef>
          </c:val>
        </c:ser>
        <c:ser>
          <c:idx val="2"/>
          <c:order val="2"/>
          <c:tx>
            <c:strRef>
              <c:f>pivot_tables!$D$3</c:f>
              <c:strCache>
                <c:ptCount val="1"/>
                <c:pt idx="0">
                  <c:v>Sum of Like_ID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pivot_tables!$A$4:$A$55</c:f>
              <c:strCache>
                <c:ptCount val="51"/>
                <c:pt idx="0">
                  <c:v>Amandafurt</c:v>
                </c:pt>
                <c:pt idx="1">
                  <c:v>Andreaborough</c:v>
                </c:pt>
                <c:pt idx="2">
                  <c:v>Bushstad</c:v>
                </c:pt>
                <c:pt idx="3">
                  <c:v>Calderonbury</c:v>
                </c:pt>
                <c:pt idx="4">
                  <c:v>Christopherside</c:v>
                </c:pt>
                <c:pt idx="5">
                  <c:v>Codyview</c:v>
                </c:pt>
                <c:pt idx="6">
                  <c:v>Cruzfurt</c:v>
                </c:pt>
                <c:pt idx="7">
                  <c:v>Danielhaven</c:v>
                </c:pt>
                <c:pt idx="8">
                  <c:v>Davidville</c:v>
                </c:pt>
                <c:pt idx="9">
                  <c:v>East Jennifer</c:v>
                </c:pt>
                <c:pt idx="10">
                  <c:v>East Luisberg</c:v>
                </c:pt>
                <c:pt idx="11">
                  <c:v>East Melissaville</c:v>
                </c:pt>
                <c:pt idx="12">
                  <c:v>East Michael</c:v>
                </c:pt>
                <c:pt idx="13">
                  <c:v>East Sharontown</c:v>
                </c:pt>
                <c:pt idx="14">
                  <c:v>East Taylorfurt</c:v>
                </c:pt>
                <c:pt idx="15">
                  <c:v>East Willieton</c:v>
                </c:pt>
                <c:pt idx="16">
                  <c:v>Edwardsbury</c:v>
                </c:pt>
                <c:pt idx="17">
                  <c:v>Garciashire</c:v>
                </c:pt>
                <c:pt idx="18">
                  <c:v>Heatherland</c:v>
                </c:pt>
                <c:pt idx="19">
                  <c:v>Hollandmouth</c:v>
                </c:pt>
                <c:pt idx="20">
                  <c:v>Hunterland</c:v>
                </c:pt>
                <c:pt idx="21">
                  <c:v>Jerrychester</c:v>
                </c:pt>
                <c:pt idx="22">
                  <c:v>Josephshire</c:v>
                </c:pt>
                <c:pt idx="23">
                  <c:v>Kathyview</c:v>
                </c:pt>
                <c:pt idx="24">
                  <c:v>Kennethside</c:v>
                </c:pt>
                <c:pt idx="25">
                  <c:v>Lake Eric</c:v>
                </c:pt>
                <c:pt idx="26">
                  <c:v>Lake Nathan</c:v>
                </c:pt>
                <c:pt idx="27">
                  <c:v>Lauraberg</c:v>
                </c:pt>
                <c:pt idx="28">
                  <c:v>Leahborough</c:v>
                </c:pt>
                <c:pt idx="29">
                  <c:v>Mendezborough</c:v>
                </c:pt>
                <c:pt idx="30">
                  <c:v>Mooreshire</c:v>
                </c:pt>
                <c:pt idx="31">
                  <c:v>Morrisfurt</c:v>
                </c:pt>
                <c:pt idx="32">
                  <c:v>New Amanda</c:v>
                </c:pt>
                <c:pt idx="33">
                  <c:v>New David</c:v>
                </c:pt>
                <c:pt idx="34">
                  <c:v>New Krystal</c:v>
                </c:pt>
                <c:pt idx="35">
                  <c:v>North Amandaton</c:v>
                </c:pt>
                <c:pt idx="36">
                  <c:v>North Anna</c:v>
                </c:pt>
                <c:pt idx="37">
                  <c:v>North Benjamin</c:v>
                </c:pt>
                <c:pt idx="38">
                  <c:v>North Shawnfurt</c:v>
                </c:pt>
                <c:pt idx="39">
                  <c:v>Payneshire</c:v>
                </c:pt>
                <c:pt idx="40">
                  <c:v>Port Lanceland</c:v>
                </c:pt>
                <c:pt idx="41">
                  <c:v>Port Susanfort</c:v>
                </c:pt>
                <c:pt idx="42">
                  <c:v>Seanville</c:v>
                </c:pt>
                <c:pt idx="43">
                  <c:v>South Brendafurt</c:v>
                </c:pt>
                <c:pt idx="44">
                  <c:v>South Kylemouth</c:v>
                </c:pt>
                <c:pt idx="45">
                  <c:v>Stephenbury</c:v>
                </c:pt>
                <c:pt idx="46">
                  <c:v>Taraberg</c:v>
                </c:pt>
                <c:pt idx="47">
                  <c:v>Walterland</c:v>
                </c:pt>
                <c:pt idx="48">
                  <c:v>Watsonton</c:v>
                </c:pt>
                <c:pt idx="49">
                  <c:v>West Richardchester</c:v>
                </c:pt>
                <c:pt idx="50">
                  <c:v>(blank)</c:v>
                </c:pt>
              </c:strCache>
            </c:strRef>
          </c:cat>
          <c:val>
            <c:numRef>
              <c:f>pivot_tables!$D$4:$D$55</c:f>
              <c:numCache>
                <c:formatCode>General</c:formatCode>
                <c:ptCount val="51"/>
                <c:pt idx="0">
                  <c:v>40</c:v>
                </c:pt>
                <c:pt idx="1">
                  <c:v>14</c:v>
                </c:pt>
                <c:pt idx="2">
                  <c:v>39</c:v>
                </c:pt>
                <c:pt idx="3">
                  <c:v>22</c:v>
                </c:pt>
                <c:pt idx="4">
                  <c:v>42</c:v>
                </c:pt>
                <c:pt idx="5">
                  <c:v>26</c:v>
                </c:pt>
                <c:pt idx="6">
                  <c:v>21</c:v>
                </c:pt>
                <c:pt idx="7">
                  <c:v>20</c:v>
                </c:pt>
                <c:pt idx="8">
                  <c:v>44</c:v>
                </c:pt>
                <c:pt idx="9">
                  <c:v>2</c:v>
                </c:pt>
                <c:pt idx="10">
                  <c:v>4</c:v>
                </c:pt>
                <c:pt idx="11">
                  <c:v>36</c:v>
                </c:pt>
                <c:pt idx="12">
                  <c:v>45</c:v>
                </c:pt>
                <c:pt idx="13">
                  <c:v>33</c:v>
                </c:pt>
                <c:pt idx="14">
                  <c:v>16</c:v>
                </c:pt>
                <c:pt idx="15">
                  <c:v>37</c:v>
                </c:pt>
                <c:pt idx="16">
                  <c:v>10</c:v>
                </c:pt>
                <c:pt idx="17">
                  <c:v>9</c:v>
                </c:pt>
                <c:pt idx="18">
                  <c:v>11</c:v>
                </c:pt>
                <c:pt idx="19">
                  <c:v>24</c:v>
                </c:pt>
                <c:pt idx="20">
                  <c:v>19</c:v>
                </c:pt>
                <c:pt idx="21">
                  <c:v>12</c:v>
                </c:pt>
                <c:pt idx="22">
                  <c:v>48</c:v>
                </c:pt>
                <c:pt idx="23">
                  <c:v>17</c:v>
                </c:pt>
                <c:pt idx="24">
                  <c:v>25</c:v>
                </c:pt>
                <c:pt idx="25">
                  <c:v>23</c:v>
                </c:pt>
                <c:pt idx="26">
                  <c:v>31</c:v>
                </c:pt>
                <c:pt idx="27">
                  <c:v>28</c:v>
                </c:pt>
                <c:pt idx="28">
                  <c:v>8</c:v>
                </c:pt>
                <c:pt idx="29">
                  <c:v>47</c:v>
                </c:pt>
                <c:pt idx="30">
                  <c:v>18</c:v>
                </c:pt>
                <c:pt idx="31">
                  <c:v>15</c:v>
                </c:pt>
                <c:pt idx="32">
                  <c:v>49</c:v>
                </c:pt>
                <c:pt idx="33">
                  <c:v>41</c:v>
                </c:pt>
                <c:pt idx="34">
                  <c:v>1</c:v>
                </c:pt>
                <c:pt idx="35">
                  <c:v>32</c:v>
                </c:pt>
                <c:pt idx="36">
                  <c:v>43</c:v>
                </c:pt>
                <c:pt idx="37">
                  <c:v>29</c:v>
                </c:pt>
                <c:pt idx="38">
                  <c:v>30</c:v>
                </c:pt>
                <c:pt idx="39">
                  <c:v>6</c:v>
                </c:pt>
                <c:pt idx="40">
                  <c:v>46</c:v>
                </c:pt>
                <c:pt idx="41">
                  <c:v>35</c:v>
                </c:pt>
                <c:pt idx="42">
                  <c:v>34</c:v>
                </c:pt>
                <c:pt idx="43">
                  <c:v>38</c:v>
                </c:pt>
                <c:pt idx="44">
                  <c:v>5</c:v>
                </c:pt>
                <c:pt idx="45">
                  <c:v>13</c:v>
                </c:pt>
                <c:pt idx="46">
                  <c:v>7</c:v>
                </c:pt>
                <c:pt idx="47">
                  <c:v>27</c:v>
                </c:pt>
                <c:pt idx="48">
                  <c:v>50</c:v>
                </c:pt>
                <c:pt idx="49">
                  <c:v>3</c:v>
                </c:pt>
                <c:pt idx="50">
                  <c:v>10050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291b20-f30c-4835-b70d-7f6b52b9d632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459740</xdr:colOff>
      <xdr:row>2</xdr:row>
      <xdr:rowOff>91440</xdr:rowOff>
    </xdr:from>
    <xdr:to>
      <xdr:col>13</xdr:col>
      <xdr:colOff>208915</xdr:colOff>
      <xdr:row>16</xdr:row>
      <xdr:rowOff>29210</xdr:rowOff>
    </xdr:to>
    <xdr:graphicFrame>
      <xdr:nvGraphicFramePr>
        <xdr:cNvPr id="2" name="Chart 1"/>
        <xdr:cNvGraphicFramePr/>
      </xdr:nvGraphicFramePr>
      <xdr:xfrm>
        <a:off x="6273800" y="457200"/>
        <a:ext cx="4625975" cy="2498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137160</xdr:colOff>
      <xdr:row>16</xdr:row>
      <xdr:rowOff>160020</xdr:rowOff>
    </xdr:from>
    <xdr:to>
      <xdr:col>4</xdr:col>
      <xdr:colOff>596900</xdr:colOff>
      <xdr:row>31</xdr:row>
      <xdr:rowOff>160020</xdr:rowOff>
    </xdr:to>
    <xdr:graphicFrame>
      <xdr:nvGraphicFramePr>
        <xdr:cNvPr id="3" name="Chart 2"/>
        <xdr:cNvGraphicFramePr/>
      </xdr:nvGraphicFramePr>
      <xdr:xfrm>
        <a:off x="975360" y="3086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17</xdr:row>
      <xdr:rowOff>38100</xdr:rowOff>
    </xdr:from>
    <xdr:to>
      <xdr:col>13</xdr:col>
      <xdr:colOff>215900</xdr:colOff>
      <xdr:row>32</xdr:row>
      <xdr:rowOff>38100</xdr:rowOff>
    </xdr:to>
    <xdr:graphicFrame>
      <xdr:nvGraphicFramePr>
        <xdr:cNvPr id="6" name="Chart 5"/>
        <xdr:cNvGraphicFramePr/>
      </xdr:nvGraphicFramePr>
      <xdr:xfrm>
        <a:off x="6080760" y="3147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353060</xdr:colOff>
      <xdr:row>7</xdr:row>
      <xdr:rowOff>129540</xdr:rowOff>
    </xdr:from>
    <xdr:to>
      <xdr:col>1</xdr:col>
      <xdr:colOff>1343660</xdr:colOff>
      <xdr:row>16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060" y="1409700"/>
              <a:ext cx="1828800" cy="1575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505460</xdr:colOff>
      <xdr:row>8</xdr:row>
      <xdr:rowOff>31115</xdr:rowOff>
    </xdr:from>
    <xdr:to>
      <xdr:col>5</xdr:col>
      <xdr:colOff>269240</xdr:colOff>
      <xdr:row>16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Post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t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4500" y="1494155"/>
              <a:ext cx="1828800" cy="1452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48260</xdr:colOff>
      <xdr:row>8</xdr:row>
      <xdr:rowOff>6985</xdr:rowOff>
    </xdr:from>
    <xdr:to>
      <xdr:col>3</xdr:col>
      <xdr:colOff>421640</xdr:colOff>
      <xdr:row>16</xdr:row>
      <xdr:rowOff>43180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Like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ke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1880" y="1470025"/>
              <a:ext cx="1828800" cy="1499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2.0457407407" refreshedBy="WINDOWS" recordCount="150">
  <cacheSource type="worksheet">
    <worksheetSource ref="A1:Q151" sheet="cleaned_data_formulas_functions"/>
  </cacheSource>
  <cacheFields count="17">
    <cacheField name="User_ID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Username" numFmtId="0">
      <sharedItems containsBlank="1" count="51">
        <s v="daniel14"/>
        <s v="jacksonbrianna"/>
        <s v="restes"/>
        <s v="joshuatucker"/>
        <s v="matthew35"/>
        <s v="ghogan"/>
        <s v="costamark"/>
        <s v="estradatracy"/>
        <s v="ahamilton"/>
        <s v="chamberslouis"/>
        <s v="georgemartin"/>
        <s v="meyersjacqueline"/>
        <s v="ronald33"/>
        <s v="williamsrobert"/>
        <s v="seandonaldson"/>
        <s v="ericabaker"/>
        <s v="smithlogan"/>
        <s v="oromero"/>
        <s v="bassjason"/>
        <s v="haledavid"/>
        <s v="carpentermckenzie"/>
        <s v="erikaphillips"/>
        <s v="kevinhampton"/>
        <s v="privera"/>
        <s v="abigailmercer"/>
        <s v="mbush"/>
        <s v="taylorclark"/>
        <s v="kristendecker"/>
        <s v="ssharp"/>
        <s v="victorjackson"/>
        <s v="timothy51"/>
        <s v="lucerodavid"/>
        <s v="jonessydney"/>
        <s v="carrillotiffany"/>
        <s v="leegina"/>
        <s v="larry37"/>
        <s v="ljohnson"/>
        <s v="christian06"/>
        <s v="traviscarr"/>
        <s v="znelson"/>
        <s v="samuel65"/>
        <s v="lindadelgado"/>
        <s v="suzannevillanueva"/>
        <s v="weavergina"/>
        <s v="rebeccapacheco"/>
        <s v="vbutler"/>
        <s v="sheri18"/>
        <s v="qfields"/>
        <s v="pgarcia"/>
        <s v="tiffanymoore"/>
        <m/>
      </sharedItems>
    </cacheField>
    <cacheField name="Email" numFmtId="0">
      <sharedItems containsBlank="1" count="51">
        <s v="tina13@hotmail.com"/>
        <s v="rjohnson@mayo.com"/>
        <s v="heatherfernandez@jenkins-martinez.com"/>
        <s v="ortegathomas@gmail.com"/>
        <s v="johnsonnathan@cruz-sullivan.com"/>
        <s v="robert35@gmail.com"/>
        <s v="mercadoheidi@savage.com"/>
        <s v="porterkatherine@horton.com"/>
        <s v="qsnow@huang.net"/>
        <s v="davidmoore@gmail.com"/>
        <s v="codyoconnor@lopez.com"/>
        <s v="sfowler@hotmail.com"/>
        <s v="nlarson@delgado.net"/>
        <s v="michael13@graves.com"/>
        <s v="bushandrew@norton.info"/>
        <s v="grahamdesiree@griffin-herring.com"/>
        <s v="millerkyle@gmail.com"/>
        <s v="roberthicks@smith-robertson.com"/>
        <s v="joshuabell@gmail.com"/>
        <s v="eric01@long-golden.biz"/>
        <s v="tammiemiller@yahoo.com"/>
        <s v="franklinamanda@hicks.com"/>
        <s v="nolantiffany@wilson.com"/>
        <s v="tiffany20@chavez-robinson.com"/>
        <s v="kevinporter@schneider.org"/>
        <s v="xdecker@yahoo.com"/>
        <s v="amanda22@thomas-newman.biz"/>
        <s v="benjamincox@graham.biz"/>
        <s v="mmurray@hotmail.com"/>
        <s v="henryblake@yahoo.com"/>
        <s v="laurie37@cook.com"/>
        <s v="schroederdennis@gmail.com"/>
        <s v="courtneyheath@gregory.biz"/>
        <s v="imartinez@yahoo.com"/>
        <s v="jrobinson@yahoo.com"/>
        <s v="lindseyroy@yahoo.com"/>
        <s v="coreythomas@yahoo.com"/>
        <s v="dennis81@clayton-gonzalez.com"/>
        <s v="gordonbrandon@morales.org"/>
        <s v="jonesbrandon@buchanan-sawyer.com"/>
        <s v="rileyjason@keller.com"/>
        <s v="cheryllong@whitehead-harris.com"/>
        <s v="foleythomas@walker.com"/>
        <s v="melissa75@yahoo.com"/>
        <s v="zunigajohn@gmail.com"/>
        <s v="stephaniesantiago@ramos-ballard.com"/>
        <s v="monique96@gmail.com"/>
        <s v="qcox@yahoo.com"/>
        <s v="ophillips@whitaker.info"/>
        <s v="feliciapatrick@rice-schmidt.com"/>
        <m/>
      </sharedItems>
    </cacheField>
    <cacheField name="Join_Date" numFmtId="0">
      <sharedItems containsString="0" containsBlank="1" containsNonDate="0" containsDate="1" minDate="2023-09-24T00:00:00" maxDate="2025-08-24T00:00:00" count="51">
        <d v="2024-02-13T00:00:00"/>
        <d v="2024-01-26T00:00:00"/>
        <d v="2023-11-08T00:00:00"/>
        <d v="2025-04-21T00:00:00"/>
        <d v="2025-07-10T00:00:00"/>
        <d v="2024-09-01T00:00:00"/>
        <d v="2023-09-24T00:00:00"/>
        <d v="2024-12-03T00:00:00"/>
        <d v="2024-03-25T00:00:00"/>
        <d v="2024-02-22T00:00:00"/>
        <d v="2024-09-19T00:00:00"/>
        <d v="2024-04-12T00:00:00"/>
        <d v="2024-10-31T00:00:00"/>
        <d v="2025-06-12T00:00:00"/>
        <d v="2024-07-03T00:00:00"/>
        <d v="2024-03-21T00:00:00"/>
        <d v="2023-10-18T00:00:00"/>
        <d v="2025-01-12T00:00:00"/>
        <d v="2024-08-22T00:00:00"/>
        <d v="2024-11-13T00:00:00"/>
        <d v="2025-08-14T00:00:00"/>
        <d v="2025-05-21T00:00:00"/>
        <d v="2024-09-24T00:00:00"/>
        <d v="2024-10-22T00:00:00"/>
        <d v="2025-07-15T00:00:00"/>
        <d v="2024-07-08T00:00:00"/>
        <d v="2025-07-08T00:00:00"/>
        <d v="2023-09-25T00:00:00"/>
        <d v="2024-04-23T00:00:00"/>
        <d v="2023-12-08T00:00:00"/>
        <d v="2024-09-13T00:00:00"/>
        <d v="2025-08-24T00:00:00"/>
        <d v="2023-12-05T00:00:00"/>
        <d v="2024-09-26T00:00:00"/>
        <d v="2025-02-15T00:00:00"/>
        <d v="2025-03-07T00:00:00"/>
        <d v="2023-12-24T00:00:00"/>
        <d v="2025-06-16T00:00:00"/>
        <d v="2023-09-28T00:00:00"/>
        <d v="2024-06-21T00:00:00"/>
        <d v="2024-05-03T00:00:00"/>
        <d v="2024-05-14T00:00:00"/>
        <d v="2023-11-07T00:00:00"/>
        <d v="2025-03-19T00:00:00"/>
        <d v="2024-08-15T00:00:00"/>
        <d v="2025-01-19T00:00:00"/>
        <d v="2024-01-28T00:00:00"/>
        <d v="2025-04-02T00:00:00"/>
        <d v="2025-05-26T00:00:00"/>
        <d v="2024-09-21T00:00:00"/>
        <m/>
      </sharedItems>
    </cacheField>
    <cacheField name="City" numFmtId="0">
      <sharedItems containsBlank="1" count="51">
        <s v="New Krystal"/>
        <s v="East Jennifer"/>
        <s v="West Richardchester"/>
        <s v="East Luisberg"/>
        <s v="South Kylemouth"/>
        <s v="Payneshire"/>
        <s v="Taraberg"/>
        <s v="Leahborough"/>
        <s v="Garciashire"/>
        <s v="Edwardsbury"/>
        <s v="Heatherland"/>
        <s v="Jerrychester"/>
        <s v="Stephenbury"/>
        <s v="Andreaborough"/>
        <s v="Morrisfurt"/>
        <s v="East Taylorfurt"/>
        <s v="Kathyview"/>
        <s v="Mooreshire"/>
        <s v="Hunterland"/>
        <s v="Danielhaven"/>
        <s v="Cruzfurt"/>
        <s v="Calderonbury"/>
        <s v="Lake Eric"/>
        <s v="Hollandmouth"/>
        <s v="Kennethside"/>
        <s v="Codyview"/>
        <s v="Walterland"/>
        <s v="Lauraberg"/>
        <s v="North Benjamin"/>
        <s v="North Shawnfurt"/>
        <s v="Lake Nathan"/>
        <s v="North Amandaton"/>
        <s v="East Sharontown"/>
        <s v="Seanville"/>
        <s v="Port Susanfort"/>
        <s v="East Melissaville"/>
        <s v="East Willieton"/>
        <s v="South Brendafurt"/>
        <s v="Bushstad"/>
        <s v="Amandafurt"/>
        <s v="New David"/>
        <s v="Christopherside"/>
        <s v="North Anna"/>
        <s v="Davidville"/>
        <s v="East Michael"/>
        <s v="Port Lanceland"/>
        <s v="Mendezborough"/>
        <s v="Josephshire"/>
        <s v="New Amanda"/>
        <s v="Watsonton"/>
        <m/>
      </sharedItems>
    </cacheField>
    <cacheField name="domain" numFmtId="0">
      <sharedItems containsBlank="1" count="34">
        <s v="hotmail.com"/>
        <s v="mayo.com"/>
        <s v="jenkins-martinez.com"/>
        <s v="gmail.com"/>
        <s v="cruz-sullivan.com"/>
        <s v="savage.com"/>
        <s v="horton.com"/>
        <s v="huang.net"/>
        <s v="lopez.com"/>
        <s v="delgado.net"/>
        <s v="graves.com"/>
        <s v="norton.info"/>
        <s v="griffin-herring.com"/>
        <s v="smith-robertson.com"/>
        <s v="long-golden.biz"/>
        <s v="yahoo.com"/>
        <s v="hicks.com"/>
        <s v="wilson.com"/>
        <s v="chavez-robinson.com"/>
        <s v="schneider.org"/>
        <s v="thomas-newman.biz"/>
        <s v="graham.biz"/>
        <s v="cook.com"/>
        <s v="gregory.biz"/>
        <s v="clayton-gonzalez.com"/>
        <s v="morales.org"/>
        <s v="buchanan-sawyer.com"/>
        <s v="keller.com"/>
        <s v="whitehead-harris.com"/>
        <s v="walker.com"/>
        <s v="ramos-ballard.com"/>
        <s v="whitaker.info"/>
        <s v="rice-schmidt.com"/>
        <m/>
      </sharedItems>
    </cacheField>
    <cacheField name="post_count" numFmtId="0">
      <sharedItems containsString="0" containsBlank="1" containsNumber="1" containsInteger="1" minValue="0" maxValue="6" count="8">
        <n v="2"/>
        <n v="4"/>
        <n v="0"/>
        <n v="6"/>
        <n v="1"/>
        <n v="3"/>
        <n v="5"/>
        <m/>
      </sharedItems>
    </cacheField>
    <cacheField name="Avg_cont_length" numFmtId="2">
      <sharedItems containsString="0" containsBlank="1" containsNumber="1" minValue="0" maxValue="163.75" count="44">
        <n v="47"/>
        <n v="145.5"/>
        <n v="83"/>
        <n v="136"/>
        <n v="75"/>
        <n v="47.5"/>
        <n v="95.5"/>
        <n v="116.25"/>
        <n v="117"/>
        <n v="0"/>
        <n v="124.833333333333"/>
        <n v="114"/>
        <n v="149.666666666667"/>
        <n v="131.5"/>
        <n v="43"/>
        <n v="81.5"/>
        <n v="45.6666666666667"/>
        <n v="23"/>
        <n v="107.25"/>
        <n v="121"/>
        <n v="85"/>
        <n v="105.4"/>
        <n v="163.75"/>
        <n v="53.5"/>
        <n v="95.3333333333333"/>
        <n v="132.666666666667"/>
        <n v="48"/>
        <n v="141.333333333333"/>
        <n v="40"/>
        <n v="56"/>
        <n v="94"/>
        <n v="52"/>
        <n v="53"/>
        <n v="161.5"/>
        <n v="71"/>
        <n v="59"/>
        <n v="89"/>
        <n v="143.5"/>
        <n v="100.333333333333"/>
        <n v="136.25"/>
        <n v="62"/>
        <n v="29"/>
        <n v="110.2"/>
        <m/>
      </sharedItems>
    </cacheField>
    <cacheField name="Likes_given" numFmtId="0">
      <sharedItems containsString="0" containsBlank="1" containsNumber="1" containsInteger="1" minValue="0" maxValue="7" count="9">
        <n v="6"/>
        <n v="1"/>
        <n v="2"/>
        <n v="5"/>
        <n v="0"/>
        <n v="7"/>
        <n v="3"/>
        <n v="4"/>
        <m/>
      </sharedItems>
    </cacheField>
    <cacheField name="comments_given" numFmtId="0">
      <sharedItems containsString="0" containsBlank="1" containsNumber="1" containsInteger="1" minValue="0" maxValue="5" count="7">
        <n v="5"/>
        <n v="1"/>
        <n v="3"/>
        <n v="2"/>
        <n v="0"/>
        <n v="4"/>
        <m/>
      </sharedItems>
    </cacheField>
    <cacheField name="Total_act" numFmtId="0">
      <sharedItems containsString="0" containsBlank="1" containsNumber="1" containsInteger="1" minValue="1" maxValue="11" count="11">
        <n v="11"/>
        <n v="2"/>
        <n v="5"/>
        <n v="8"/>
        <n v="3"/>
        <n v="4"/>
        <n v="7"/>
        <n v="10"/>
        <n v="6"/>
        <n v="1"/>
        <m/>
      </sharedItems>
    </cacheField>
    <cacheField name="user_name" numFmtId="0">
      <sharedItems containsBlank="1" count="34">
        <s v="lindadelgado"/>
        <s v="kristendecker"/>
        <s v="privera"/>
        <s v="daniel14"/>
        <s v="rebeccapacheco"/>
        <s v="ericabaker"/>
        <s v="oromero"/>
        <s v="joshuatucker"/>
        <s v="bassjason"/>
        <s v="ghogan"/>
        <s v="pgarcia"/>
        <s v="taylorclark"/>
        <s v="vbutler"/>
        <s v="tiffanymoore"/>
        <s v="jonessydney"/>
        <s v="carrillotiffany"/>
        <s v="meyersjacqueline"/>
        <s v="haledavid"/>
        <s v="victorjackson"/>
        <s v="jacksonbrianna"/>
        <s v="abigailmercer"/>
        <s v="samuel65"/>
        <s v="restes"/>
        <s v="lucerodavid"/>
        <s v="williamsrobert"/>
        <s v="weavergina"/>
        <s v="ahamilton"/>
        <s v="smithlogan"/>
        <s v="kevinhampton"/>
        <s v="suzannevillanueva"/>
        <s v="ssharp"/>
        <s v="chamberslouis"/>
        <s v="erikaphillips"/>
        <m/>
      </sharedItems>
    </cacheField>
    <cacheField name="duration_months" numFmtId="0">
      <sharedItems containsString="0" containsBlank="1" containsNumber="1" containsInteger="1" minValue="1" maxValue="23" count="22">
        <n v="5"/>
        <n v="8"/>
        <n v="3"/>
        <n v="17"/>
        <n v="11"/>
        <n v="13"/>
        <n v="4"/>
        <n v="15"/>
        <n v="19"/>
        <n v="23"/>
        <n v="20"/>
        <n v="7"/>
        <n v="16"/>
        <n v="21"/>
        <n v="9"/>
        <n v="1"/>
        <n v="6"/>
        <n v="14"/>
        <n v="10"/>
        <n v="22"/>
        <n v="2"/>
        <m/>
      </sharedItems>
    </cacheField>
    <cacheField name="Post_ID" numFmtId="0">
      <sharedItems containsString="0" containsBlank="1" containsNumber="1" containsInteger="1" minValue="1" maxValue="100" count="1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m/>
      </sharedItems>
    </cacheField>
    <cacheField name="Like_ID" numFmtId="0">
      <sharedItems containsSemiMixedTypes="0" containsString="0" containsNumber="1" containsInteger="1" minValue="1" maxValue="150" count="1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</sharedItems>
    </cacheField>
    <cacheField name="Comment_ID" numFmtId="0">
      <sharedItems containsString="0" containsBlank="1" containsNumber="1" containsInteger="1" minValue="1" maxValue="120" count="1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m/>
      </sharedItems>
    </cacheField>
    <cacheField name="Post_Date" numFmtId="0">
      <sharedItems containsString="0" containsBlank="1" containsNonDate="0" containsDate="1" minDate="2024-09-16T00:00:00" maxDate="2025-09-10T00:00:00" count="89">
        <d v="2025-01-02T00:00:00"/>
        <d v="2024-12-21T00:00:00"/>
        <d v="2024-11-28T00:00:00"/>
        <d v="2025-07-03T00:00:00"/>
        <d v="2025-08-18T00:00:00"/>
        <d v="2025-03-21T00:00:00"/>
        <d v="2024-09-16T00:00:00"/>
        <d v="2025-05-02T00:00:00"/>
        <d v="2025-02-15T00:00:00"/>
        <d v="2025-02-06T00:00:00"/>
        <d v="2025-03-12T00:00:00"/>
        <d v="2025-07-12T00:00:00"/>
        <d v="2024-09-19T00:00:00"/>
        <d v="2025-04-29T00:00:00"/>
        <d v="2025-02-17T00:00:00"/>
        <d v="2025-04-13T00:00:00"/>
        <d v="2024-12-13T00:00:00"/>
        <d v="2025-05-17T00:00:00"/>
        <d v="2024-11-25T00:00:00"/>
        <d v="2025-05-24T00:00:00"/>
        <d v="2025-04-03T00:00:00"/>
        <d v="2024-10-01T00:00:00"/>
        <d v="2025-02-03T00:00:00"/>
        <d v="2025-01-03T00:00:00"/>
        <d v="2025-08-22T00:00:00"/>
        <d v="2025-02-05T00:00:00"/>
        <d v="2025-01-19T00:00:00"/>
        <d v="2024-11-22T00:00:00"/>
        <d v="2024-11-30T00:00:00"/>
        <d v="2025-01-21T00:00:00"/>
        <d v="2025-05-04T00:00:00"/>
        <d v="2025-03-20T00:00:00"/>
        <d v="2025-01-25T00:00:00"/>
        <d v="2024-10-08T00:00:00"/>
        <d v="2024-10-27T00:00:00"/>
        <d v="2025-04-28T00:00:00"/>
        <d v="2024-10-17T00:00:00"/>
        <d v="2025-05-11T00:00:00"/>
        <d v="2025-06-04T00:00:00"/>
        <d v="2025-02-12T00:00:00"/>
        <d v="2024-12-07T00:00:00"/>
        <d v="2025-08-06T00:00:00"/>
        <d v="2025-09-04T00:00:00"/>
        <d v="2024-11-20T00:00:00"/>
        <d v="2025-06-05T00:00:00"/>
        <d v="2024-11-12T00:00:00"/>
        <d v="2025-04-14T00:00:00"/>
        <d v="2025-08-11T00:00:00"/>
        <d v="2025-01-13T00:00:00"/>
        <d v="2025-01-08T00:00:00"/>
        <d v="2025-09-05T00:00:00"/>
        <d v="2025-04-09T00:00:00"/>
        <d v="2025-09-10T00:00:00"/>
        <d v="2025-03-06T00:00:00"/>
        <d v="2025-05-27T00:00:00"/>
        <d v="2025-07-09T00:00:00"/>
        <d v="2024-11-21T00:00:00"/>
        <d v="2025-02-16T00:00:00"/>
        <d v="2024-10-31T00:00:00"/>
        <d v="2025-06-07T00:00:00"/>
        <d v="2024-12-17T00:00:00"/>
        <d v="2025-03-25T00:00:00"/>
        <d v="2024-12-03T00:00:00"/>
        <d v="2025-02-28T00:00:00"/>
        <d v="2024-10-22T00:00:00"/>
        <d v="2025-05-08T00:00:00"/>
        <d v="2024-10-07T00:00:00"/>
        <d v="2025-06-27T00:00:00"/>
        <d v="2025-02-27T00:00:00"/>
        <d v="2025-03-27T00:00:00"/>
        <d v="2025-03-01T00:00:00"/>
        <d v="2024-10-10T00:00:00"/>
        <d v="2025-05-10T00:00:00"/>
        <d v="2025-06-25T00:00:00"/>
        <d v="2025-06-14T00:00:00"/>
        <d v="2025-01-18T00:00:00"/>
        <d v="2025-04-12T00:00:00"/>
        <d v="2025-04-11T00:00:00"/>
        <d v="2025-08-19T00:00:00"/>
        <d v="2024-09-29T00:00:00"/>
        <d v="2025-01-17T00:00:00"/>
        <d v="2025-03-13T00:00:00"/>
        <d v="2024-11-13T00:00:00"/>
        <d v="2025-01-29T00:00:00"/>
        <d v="2025-07-04T00:00:00"/>
        <d v="2025-02-19T00:00:00"/>
        <d v="2025-03-31T00:00:00"/>
        <d v="2024-12-04T00:00:0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2.0271643518" refreshedBy="WINDOWS" recordCount="50">
  <cacheSource type="worksheet">
    <worksheetSource ref="A1:N51" sheet="cleaned_data_formulas_functions"/>
  </cacheSource>
  <cacheFields count="14">
    <cacheField name="User_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Username" numFmtId="0">
      <sharedItems count="50">
        <s v="daniel14"/>
        <s v="jacksonbrianna"/>
        <s v="restes"/>
        <s v="joshuatucker"/>
        <s v="matthew35"/>
        <s v="ghogan"/>
        <s v="costamark"/>
        <s v="estradatracy"/>
        <s v="ahamilton"/>
        <s v="chamberslouis"/>
        <s v="georgemartin"/>
        <s v="meyersjacqueline"/>
        <s v="ronald33"/>
        <s v="williamsrobert"/>
        <s v="seandonaldson"/>
        <s v="ericabaker"/>
        <s v="smithlogan"/>
        <s v="oromero"/>
        <s v="bassjason"/>
        <s v="haledavid"/>
        <s v="carpentermckenzie"/>
        <s v="erikaphillips"/>
        <s v="kevinhampton"/>
        <s v="privera"/>
        <s v="abigailmercer"/>
        <s v="mbush"/>
        <s v="taylorclark"/>
        <s v="kristendecker"/>
        <s v="ssharp"/>
        <s v="victorjackson"/>
        <s v="timothy51"/>
        <s v="lucerodavid"/>
        <s v="jonessydney"/>
        <s v="carrillotiffany"/>
        <s v="leegina"/>
        <s v="larry37"/>
        <s v="ljohnson"/>
        <s v="christian06"/>
        <s v="traviscarr"/>
        <s v="znelson"/>
        <s v="samuel65"/>
        <s v="lindadelgado"/>
        <s v="suzannevillanueva"/>
        <s v="weavergina"/>
        <s v="rebeccapacheco"/>
        <s v="vbutler"/>
        <s v="sheri18"/>
        <s v="qfields"/>
        <s v="pgarcia"/>
        <s v="tiffanymoore"/>
      </sharedItems>
    </cacheField>
    <cacheField name="Email" numFmtId="0">
      <sharedItems count="50">
        <s v="tina13@hotmail.com"/>
        <s v="rjohnson@mayo.com"/>
        <s v="heatherfernandez@jenkins-martinez.com"/>
        <s v="ortegathomas@gmail.com"/>
        <s v="johnsonnathan@cruz-sullivan.com"/>
        <s v="robert35@gmail.com"/>
        <s v="mercadoheidi@savage.com"/>
        <s v="porterkatherine@horton.com"/>
        <s v="qsnow@huang.net"/>
        <s v="davidmoore@gmail.com"/>
        <s v="codyoconnor@lopez.com"/>
        <s v="sfowler@hotmail.com"/>
        <s v="nlarson@delgado.net"/>
        <s v="michael13@graves.com"/>
        <s v="bushandrew@norton.info"/>
        <s v="grahamdesiree@griffin-herring.com"/>
        <s v="millerkyle@gmail.com"/>
        <s v="roberthicks@smith-robertson.com"/>
        <s v="joshuabell@gmail.com"/>
        <s v="eric01@long-golden.biz"/>
        <s v="tammiemiller@yahoo.com"/>
        <s v="franklinamanda@hicks.com"/>
        <s v="nolantiffany@wilson.com"/>
        <s v="tiffany20@chavez-robinson.com"/>
        <s v="kevinporter@schneider.org"/>
        <s v="xdecker@yahoo.com"/>
        <s v="amanda22@thomas-newman.biz"/>
        <s v="benjamincox@graham.biz"/>
        <s v="mmurray@hotmail.com"/>
        <s v="henryblake@yahoo.com"/>
        <s v="laurie37@cook.com"/>
        <s v="schroederdennis@gmail.com"/>
        <s v="courtneyheath@gregory.biz"/>
        <s v="imartinez@yahoo.com"/>
        <s v="jrobinson@yahoo.com"/>
        <s v="lindseyroy@yahoo.com"/>
        <s v="coreythomas@yahoo.com"/>
        <s v="dennis81@clayton-gonzalez.com"/>
        <s v="gordonbrandon@morales.org"/>
        <s v="jonesbrandon@buchanan-sawyer.com"/>
        <s v="rileyjason@keller.com"/>
        <s v="cheryllong@whitehead-harris.com"/>
        <s v="foleythomas@walker.com"/>
        <s v="melissa75@yahoo.com"/>
        <s v="zunigajohn@gmail.com"/>
        <s v="stephaniesantiago@ramos-ballard.com"/>
        <s v="monique96@gmail.com"/>
        <s v="qcox@yahoo.com"/>
        <s v="ophillips@whitaker.info"/>
        <s v="feliciapatrick@rice-schmidt.com"/>
      </sharedItems>
    </cacheField>
    <cacheField name="Join_Date" numFmtId="0">
      <sharedItems containsSemiMixedTypes="0" containsString="0" containsNonDate="0" containsDate="1" minDate="2023-09-24T00:00:00" maxDate="2025-08-24T00:00:00" count="50">
        <d v="2024-02-13T00:00:00"/>
        <d v="2024-01-26T00:00:00"/>
        <d v="2023-11-08T00:00:00"/>
        <d v="2025-04-21T00:00:00"/>
        <d v="2025-07-10T00:00:00"/>
        <d v="2024-09-01T00:00:00"/>
        <d v="2023-09-24T00:00:00"/>
        <d v="2024-12-03T00:00:00"/>
        <d v="2024-03-25T00:00:00"/>
        <d v="2024-02-22T00:00:00"/>
        <d v="2024-09-19T00:00:00"/>
        <d v="2024-04-12T00:00:00"/>
        <d v="2024-10-31T00:00:00"/>
        <d v="2025-06-12T00:00:00"/>
        <d v="2024-07-03T00:00:00"/>
        <d v="2024-03-21T00:00:00"/>
        <d v="2023-10-18T00:00:00"/>
        <d v="2025-01-12T00:00:00"/>
        <d v="2024-08-22T00:00:00"/>
        <d v="2024-11-13T00:00:00"/>
        <d v="2025-08-14T00:00:00"/>
        <d v="2025-05-21T00:00:00"/>
        <d v="2024-09-24T00:00:00"/>
        <d v="2024-10-22T00:00:00"/>
        <d v="2025-07-15T00:00:00"/>
        <d v="2024-07-08T00:00:00"/>
        <d v="2025-07-08T00:00:00"/>
        <d v="2023-09-25T00:00:00"/>
        <d v="2024-04-23T00:00:00"/>
        <d v="2023-12-08T00:00:00"/>
        <d v="2024-09-13T00:00:00"/>
        <d v="2025-08-24T00:00:00"/>
        <d v="2023-12-05T00:00:00"/>
        <d v="2024-09-26T00:00:00"/>
        <d v="2025-02-15T00:00:00"/>
        <d v="2025-03-07T00:00:00"/>
        <d v="2023-12-24T00:00:00"/>
        <d v="2025-06-16T00:00:00"/>
        <d v="2023-09-28T00:00:00"/>
        <d v="2024-06-21T00:00:00"/>
        <d v="2024-05-03T00:00:00"/>
        <d v="2024-05-14T00:00:00"/>
        <d v="2023-11-07T00:00:00"/>
        <d v="2025-03-19T00:00:00"/>
        <d v="2024-08-15T00:00:00"/>
        <d v="2025-01-19T00:00:00"/>
        <d v="2024-01-28T00:00:00"/>
        <d v="2025-04-02T00:00:00"/>
        <d v="2025-05-26T00:00:00"/>
        <d v="2024-09-21T00:00:00"/>
      </sharedItems>
    </cacheField>
    <cacheField name="City" numFmtId="0">
      <sharedItems count="50">
        <s v="New Krystal"/>
        <s v="East Jennifer"/>
        <s v="West Richardchester"/>
        <s v="East Luisberg"/>
        <s v="South Kylemouth"/>
        <s v="Payneshire"/>
        <s v="Taraberg"/>
        <s v="Leahborough"/>
        <s v="Garciashire"/>
        <s v="Edwardsbury"/>
        <s v="Heatherland"/>
        <s v="Jerrychester"/>
        <s v="Stephenbury"/>
        <s v="Andreaborough"/>
        <s v="Morrisfurt"/>
        <s v="East Taylorfurt"/>
        <s v="Kathyview"/>
        <s v="Mooreshire"/>
        <s v="Hunterland"/>
        <s v="Danielhaven"/>
        <s v="Cruzfurt"/>
        <s v="Calderonbury"/>
        <s v="Lake Eric"/>
        <s v="Hollandmouth"/>
        <s v="Kennethside"/>
        <s v="Codyview"/>
        <s v="Walterland"/>
        <s v="Lauraberg"/>
        <s v="North Benjamin"/>
        <s v="North Shawnfurt"/>
        <s v="Lake Nathan"/>
        <s v="North Amandaton"/>
        <s v="East Sharontown"/>
        <s v="Seanville"/>
        <s v="Port Susanfort"/>
        <s v="East Melissaville"/>
        <s v="East Willieton"/>
        <s v="South Brendafurt"/>
        <s v="Bushstad"/>
        <s v="Amandafurt"/>
        <s v="New David"/>
        <s v="Christopherside"/>
        <s v="North Anna"/>
        <s v="Davidville"/>
        <s v="East Michael"/>
        <s v="Port Lanceland"/>
        <s v="Mendezborough"/>
        <s v="Josephshire"/>
        <s v="New Amanda"/>
        <s v="Watsonton"/>
      </sharedItems>
    </cacheField>
    <cacheField name="domain" numFmtId="0">
      <sharedItems count="33">
        <s v="hotmail.com"/>
        <s v="mayo.com"/>
        <s v="jenkins-martinez.com"/>
        <s v="gmail.com"/>
        <s v="cruz-sullivan.com"/>
        <s v="savage.com"/>
        <s v="horton.com"/>
        <s v="huang.net"/>
        <s v="lopez.com"/>
        <s v="delgado.net"/>
        <s v="graves.com"/>
        <s v="norton.info"/>
        <s v="griffin-herring.com"/>
        <s v="smith-robertson.com"/>
        <s v="long-golden.biz"/>
        <s v="yahoo.com"/>
        <s v="hicks.com"/>
        <s v="wilson.com"/>
        <s v="chavez-robinson.com"/>
        <s v="schneider.org"/>
        <s v="thomas-newman.biz"/>
        <s v="graham.biz"/>
        <s v="cook.com"/>
        <s v="gregory.biz"/>
        <s v="clayton-gonzalez.com"/>
        <s v="morales.org"/>
        <s v="buchanan-sawyer.com"/>
        <s v="keller.com"/>
        <s v="whitehead-harris.com"/>
        <s v="walker.com"/>
        <s v="ramos-ballard.com"/>
        <s v="whitaker.info"/>
        <s v="rice-schmidt.com"/>
      </sharedItems>
    </cacheField>
    <cacheField name="post_count" numFmtId="0">
      <sharedItems containsSemiMixedTypes="0" containsString="0" containsNumber="1" containsInteger="1" minValue="0" maxValue="6" count="7">
        <n v="2"/>
        <n v="4"/>
        <n v="0"/>
        <n v="6"/>
        <n v="1"/>
        <n v="3"/>
        <n v="5"/>
      </sharedItems>
    </cacheField>
    <cacheField name="Avg_cont_length" numFmtId="2">
      <sharedItems containsSemiMixedTypes="0" containsString="0" containsNumber="1" minValue="0" maxValue="163.75" count="43">
        <n v="47"/>
        <n v="145.5"/>
        <n v="83"/>
        <n v="136"/>
        <n v="75"/>
        <n v="47.5"/>
        <n v="95.5"/>
        <n v="116.25"/>
        <n v="117"/>
        <n v="0"/>
        <n v="124.833333333333"/>
        <n v="114"/>
        <n v="149.666666666667"/>
        <n v="131.5"/>
        <n v="43"/>
        <n v="81.5"/>
        <n v="45.6666666666667"/>
        <n v="23"/>
        <n v="107.25"/>
        <n v="121"/>
        <n v="85"/>
        <n v="105.4"/>
        <n v="163.75"/>
        <n v="53.5"/>
        <n v="95.3333333333333"/>
        <n v="132.666666666667"/>
        <n v="48"/>
        <n v="141.333333333333"/>
        <n v="40"/>
        <n v="56"/>
        <n v="94"/>
        <n v="52"/>
        <n v="53"/>
        <n v="161.5"/>
        <n v="71"/>
        <n v="59"/>
        <n v="89"/>
        <n v="143.5"/>
        <n v="100.333333333333"/>
        <n v="136.25"/>
        <n v="62"/>
        <n v="29"/>
        <n v="110.2"/>
      </sharedItems>
    </cacheField>
    <cacheField name="Likes_given" numFmtId="0">
      <sharedItems containsSemiMixedTypes="0" containsString="0" containsNumber="1" containsInteger="1" minValue="0" maxValue="7" count="8">
        <n v="6"/>
        <n v="1"/>
        <n v="2"/>
        <n v="5"/>
        <n v="0"/>
        <n v="7"/>
        <n v="3"/>
        <n v="4"/>
      </sharedItems>
    </cacheField>
    <cacheField name="comments_given" numFmtId="0">
      <sharedItems containsSemiMixedTypes="0" containsString="0" containsNumber="1" containsInteger="1" minValue="0" maxValue="5" count="6">
        <n v="5"/>
        <n v="1"/>
        <n v="3"/>
        <n v="2"/>
        <n v="0"/>
        <n v="4"/>
      </sharedItems>
    </cacheField>
    <cacheField name="Total_act" numFmtId="0">
      <sharedItems containsSemiMixedTypes="0" containsString="0" containsNumber="1" containsInteger="1" minValue="1" maxValue="11" count="10">
        <n v="11"/>
        <n v="2"/>
        <n v="5"/>
        <n v="8"/>
        <n v="3"/>
        <n v="4"/>
        <n v="7"/>
        <n v="10"/>
        <n v="6"/>
        <n v="1"/>
      </sharedItems>
    </cacheField>
    <cacheField name="user_name" numFmtId="0">
      <sharedItems count="33">
        <s v="lindadelgado"/>
        <s v="kristendecker"/>
        <s v="privera"/>
        <s v="daniel14"/>
        <s v="rebeccapacheco"/>
        <s v="ericabaker"/>
        <s v="oromero"/>
        <s v="joshuatucker"/>
        <s v="bassjason"/>
        <s v="ghogan"/>
        <s v="pgarcia"/>
        <s v="taylorclark"/>
        <s v="vbutler"/>
        <s v="tiffanymoore"/>
        <s v="jonessydney"/>
        <s v="carrillotiffany"/>
        <s v="meyersjacqueline"/>
        <s v="haledavid"/>
        <s v="victorjackson"/>
        <s v="jacksonbrianna"/>
        <s v="abigailmercer"/>
        <s v="samuel65"/>
        <s v="restes"/>
        <s v="lucerodavid"/>
        <s v="williamsrobert"/>
        <s v="weavergina"/>
        <s v="ahamilton"/>
        <s v="smithlogan"/>
        <s v="kevinhampton"/>
        <s v="suzannevillanueva"/>
        <s v="ssharp"/>
        <s v="chamberslouis"/>
        <s v="erikaphillips"/>
      </sharedItems>
    </cacheField>
    <cacheField name="duration_months" numFmtId="0">
      <sharedItems containsSemiMixedTypes="0" containsString="0" containsNumber="1" containsInteger="1" minValue="1" maxValue="23" count="21">
        <n v="5"/>
        <n v="8"/>
        <n v="3"/>
        <n v="17"/>
        <n v="11"/>
        <n v="13"/>
        <n v="4"/>
        <n v="15"/>
        <n v="19"/>
        <n v="23"/>
        <n v="20"/>
        <n v="7"/>
        <n v="16"/>
        <n v="21"/>
        <n v="9"/>
        <n v="1"/>
        <n v="6"/>
        <n v="14"/>
        <n v="10"/>
        <n v="22"/>
        <n v="2"/>
      </sharedItems>
    </cacheField>
    <cacheField name="Post_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2.0321759259" refreshedBy="WINDOWS" recordCount="150">
  <cacheSource type="worksheet">
    <worksheetSource ref="A1:D151" sheet="Likes"/>
  </cacheSource>
  <cacheFields count="4">
    <cacheField name="Like_ID" numFmtId="0">
      <sharedItems containsSemiMixedTypes="0" containsString="0" containsNumber="1" containsInteger="1" minValue="1" maxValue="150" count="1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</sharedItems>
    </cacheField>
    <cacheField name="User_ID" numFmtId="0">
      <sharedItems containsSemiMixedTypes="0" containsString="0" containsNumber="1" containsInteger="1" minValue="1" maxValue="50" count="46">
        <n v="30"/>
        <n v="20"/>
        <n v="10"/>
        <n v="39"/>
        <n v="17"/>
        <n v="47"/>
        <n v="35"/>
        <n v="22"/>
        <n v="6"/>
        <n v="14"/>
        <n v="50"/>
        <n v="7"/>
        <n v="44"/>
        <n v="24"/>
        <n v="25"/>
        <n v="26"/>
        <n v="13"/>
        <n v="1"/>
        <n v="5"/>
        <n v="38"/>
        <n v="40"/>
        <n v="4"/>
        <n v="41"/>
        <n v="37"/>
        <n v="33"/>
        <n v="42"/>
        <n v="48"/>
        <n v="46"/>
        <n v="15"/>
        <n v="45"/>
        <n v="28"/>
        <n v="27"/>
        <n v="3"/>
        <n v="36"/>
        <n v="29"/>
        <n v="32"/>
        <n v="11"/>
        <n v="18"/>
        <n v="16"/>
        <n v="21"/>
        <n v="23"/>
        <n v="8"/>
        <n v="31"/>
        <n v="43"/>
        <n v="2"/>
        <n v="19"/>
      </sharedItems>
    </cacheField>
    <cacheField name="Post_ID" numFmtId="0">
      <sharedItems containsSemiMixedTypes="0" containsString="0" containsNumber="1" containsInteger="1" minValue="2" maxValue="99" count="78">
        <n v="33"/>
        <n v="7"/>
        <n v="78"/>
        <n v="63"/>
        <n v="27"/>
        <n v="87"/>
        <n v="65"/>
        <n v="90"/>
        <n v="96"/>
        <n v="95"/>
        <n v="50"/>
        <n v="75"/>
        <n v="2"/>
        <n v="73"/>
        <n v="99"/>
        <n v="39"/>
        <n v="34"/>
        <n v="51"/>
        <n v="14"/>
        <n v="30"/>
        <n v="76"/>
        <n v="92"/>
        <n v="62"/>
        <n v="19"/>
        <n v="16"/>
        <n v="81"/>
        <n v="42"/>
        <n v="31"/>
        <n v="80"/>
        <n v="12"/>
        <n v="21"/>
        <n v="28"/>
        <n v="37"/>
        <n v="15"/>
        <n v="70"/>
        <n v="57"/>
        <n v="24"/>
        <n v="49"/>
        <n v="23"/>
        <n v="77"/>
        <n v="59"/>
        <n v="58"/>
        <n v="89"/>
        <n v="91"/>
        <n v="94"/>
        <n v="18"/>
        <n v="46"/>
        <n v="10"/>
        <n v="13"/>
        <n v="79"/>
        <n v="93"/>
        <n v="48"/>
        <n v="22"/>
        <n v="98"/>
        <n v="64"/>
        <n v="40"/>
        <n v="29"/>
        <n v="68"/>
        <n v="38"/>
        <n v="71"/>
        <n v="69"/>
        <n v="35"/>
        <n v="52"/>
        <n v="4"/>
        <n v="8"/>
        <n v="25"/>
        <n v="5"/>
        <n v="67"/>
        <n v="82"/>
        <n v="3"/>
        <n v="55"/>
        <n v="47"/>
        <n v="72"/>
        <n v="84"/>
        <n v="85"/>
        <n v="60"/>
        <n v="26"/>
        <n v="11"/>
      </sharedItems>
    </cacheField>
    <cacheField name="Like_Date" numFmtId="182">
      <sharedItems containsSemiMixedTypes="0" containsString="0" containsNonDate="0" containsDate="1" minDate="2024-09-19T00:00:00" maxDate="2025-09-16T00:00:00" count="119">
        <d v="2024-12-13T00:00:00"/>
        <d v="2024-09-23T00:00:00"/>
        <d v="2024-11-10T00:00:00"/>
        <d v="2025-06-11T00:00:00"/>
        <d v="2024-10-10T00:00:00"/>
        <d v="2024-10-02T00:00:00"/>
        <d v="2025-08-13T00:00:00"/>
        <d v="2024-12-26T00:00:00"/>
        <d v="2025-05-24T00:00:00"/>
        <d v="2025-08-10T00:00:00"/>
        <d v="2025-02-10T00:00:00"/>
        <d v="2025-09-11T00:00:00"/>
        <d v="2024-11-29T00:00:00"/>
        <d v="2025-01-26T00:00:00"/>
        <d v="2025-04-25T00:00:00"/>
        <d v="2025-05-03T00:00:00"/>
        <d v="2024-12-28T00:00:00"/>
        <d v="2025-02-08T00:00:00"/>
        <d v="2025-07-20T00:00:00"/>
        <d v="2025-01-18T00:00:00"/>
        <d v="2024-12-11T00:00:00"/>
        <d v="2025-06-19T00:00:00"/>
        <d v="2024-11-04T00:00:00"/>
        <d v="2025-01-14T00:00:00"/>
        <d v="2025-03-24T00:00:00"/>
        <d v="2025-08-18T00:00:00"/>
        <d v="2024-11-22T00:00:00"/>
        <d v="2025-02-03T00:00:00"/>
        <d v="2025-08-11T00:00:00"/>
        <d v="2025-06-01T00:00:00"/>
        <d v="2024-12-10T00:00:00"/>
        <d v="2025-05-02T00:00:00"/>
        <d v="2025-03-19T00:00:00"/>
        <d v="2025-08-25T00:00:00"/>
        <d v="2024-12-07T00:00:00"/>
        <d v="2025-04-30T00:00:00"/>
        <d v="2025-09-14T00:00:00"/>
        <d v="2025-01-12T00:00:00"/>
        <d v="2025-08-26T00:00:00"/>
        <d v="2024-10-26T00:00:00"/>
        <d v="2024-09-25T00:00:00"/>
        <d v="2025-05-19T00:00:00"/>
        <d v="2025-07-13T00:00:00"/>
        <d v="2024-09-30T00:00:00"/>
        <d v="2024-11-28T00:00:00"/>
        <d v="2025-05-05T00:00:00"/>
        <d v="2024-10-08T00:00:00"/>
        <d v="2025-03-18T00:00:00"/>
        <d v="2024-10-29T00:00:00"/>
        <d v="2025-05-28T00:00:00"/>
        <d v="2025-02-09T00:00:00"/>
        <d v="2025-08-27T00:00:00"/>
        <d v="2024-10-28T00:00:00"/>
        <d v="2025-03-31T00:00:00"/>
        <d v="2025-02-26T00:00:00"/>
        <d v="2024-11-13T00:00:00"/>
        <d v="2024-10-05T00:00:00"/>
        <d v="2025-04-19T00:00:00"/>
        <d v="2024-11-21T00:00:00"/>
        <d v="2025-04-02T00:00:00"/>
        <d v="2024-10-09T00:00:00"/>
        <d v="2025-03-06T00:00:00"/>
        <d v="2025-01-05T00:00:00"/>
        <d v="2025-06-28T00:00:00"/>
        <d v="2025-05-18T00:00:00"/>
        <d v="2025-02-05T00:00:00"/>
        <d v="2025-01-13T00:00:00"/>
        <d v="2025-03-28T00:00:00"/>
        <d v="2025-04-10T00:00:00"/>
        <d v="2024-09-19T00:00:00"/>
        <d v="2024-12-04T00:00:00"/>
        <d v="2024-10-04T00:00:00"/>
        <d v="2024-12-16T00:00:00"/>
        <d v="2025-03-09T00:00:00"/>
        <d v="2025-05-17T00:00:00"/>
        <d v="2024-12-20T00:00:00"/>
        <d v="2024-09-27T00:00:00"/>
        <d v="2025-08-03T00:00:00"/>
        <d v="2025-09-05T00:00:00"/>
        <d v="2025-07-19T00:00:00"/>
        <d v="2025-04-04T00:00:00"/>
        <d v="2025-01-08T00:00:00"/>
        <d v="2025-01-19T00:00:00"/>
        <d v="2025-07-08T00:00:00"/>
        <d v="2024-10-21T00:00:00"/>
        <d v="2025-01-30T00:00:00"/>
        <d v="2025-03-30T00:00:00"/>
        <d v="2025-08-07T00:00:00"/>
        <d v="2024-11-24T00:00:00"/>
        <d v="2025-08-31T00:00:00"/>
        <d v="2025-04-15T00:00:00"/>
        <d v="2025-01-03T00:00:00"/>
        <d v="2024-10-31T00:00:00"/>
        <d v="2025-04-27T00:00:00"/>
        <d v="2025-05-27T00:00:00"/>
        <d v="2025-09-16T00:00:00"/>
        <d v="2025-07-06T00:00:00"/>
        <d v="2024-11-26T00:00:00"/>
        <d v="2024-12-31T00:00:00"/>
        <d v="2025-04-24T00:00:00"/>
        <d v="2025-02-07T00:00:00"/>
        <d v="2025-08-30T00:00:00"/>
        <d v="2025-06-03T00:00:00"/>
        <d v="2025-05-30T00:00:00"/>
        <d v="2025-04-16T00:00:00"/>
        <d v="2025-05-31T00:00:00"/>
        <d v="2024-11-02T00:00:00"/>
        <d v="2025-07-26T00:00:00"/>
        <d v="2024-10-13T00:00:00"/>
        <d v="2025-03-05T00:00:00"/>
        <d v="2024-12-12T00:00:00"/>
        <d v="2025-08-28T00:00:00"/>
        <d v="2024-09-29T00:00:00"/>
        <d v="2025-08-20T00:00:00"/>
        <d v="2025-01-29T00:00:00"/>
        <d v="2025-06-26T00:00:00"/>
        <d v="2025-01-15T00:00:00"/>
        <d v="2025-04-05T00:00:00"/>
        <d v="2024-12-05T00:00:00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1"/>
    <x v="1"/>
  </r>
  <r>
    <x v="2"/>
    <x v="2"/>
    <x v="2"/>
    <x v="2"/>
    <x v="2"/>
    <x v="2"/>
    <x v="0"/>
    <x v="2"/>
    <x v="2"/>
    <x v="2"/>
    <x v="2"/>
    <x v="2"/>
    <x v="2"/>
    <x v="2"/>
    <x v="2"/>
    <x v="2"/>
    <x v="2"/>
  </r>
  <r>
    <x v="3"/>
    <x v="3"/>
    <x v="3"/>
    <x v="3"/>
    <x v="3"/>
    <x v="3"/>
    <x v="0"/>
    <x v="3"/>
    <x v="3"/>
    <x v="2"/>
    <x v="3"/>
    <x v="3"/>
    <x v="2"/>
    <x v="3"/>
    <x v="3"/>
    <x v="3"/>
    <x v="2"/>
  </r>
  <r>
    <x v="4"/>
    <x v="4"/>
    <x v="4"/>
    <x v="4"/>
    <x v="4"/>
    <x v="4"/>
    <x v="0"/>
    <x v="4"/>
    <x v="2"/>
    <x v="1"/>
    <x v="4"/>
    <x v="4"/>
    <x v="3"/>
    <x v="4"/>
    <x v="4"/>
    <x v="4"/>
    <x v="3"/>
  </r>
  <r>
    <x v="5"/>
    <x v="5"/>
    <x v="5"/>
    <x v="5"/>
    <x v="5"/>
    <x v="3"/>
    <x v="0"/>
    <x v="5"/>
    <x v="2"/>
    <x v="3"/>
    <x v="5"/>
    <x v="5"/>
    <x v="4"/>
    <x v="5"/>
    <x v="5"/>
    <x v="5"/>
    <x v="4"/>
  </r>
  <r>
    <x v="6"/>
    <x v="6"/>
    <x v="6"/>
    <x v="6"/>
    <x v="6"/>
    <x v="5"/>
    <x v="0"/>
    <x v="6"/>
    <x v="3"/>
    <x v="2"/>
    <x v="3"/>
    <x v="4"/>
    <x v="5"/>
    <x v="6"/>
    <x v="6"/>
    <x v="6"/>
    <x v="5"/>
  </r>
  <r>
    <x v="7"/>
    <x v="7"/>
    <x v="7"/>
    <x v="7"/>
    <x v="7"/>
    <x v="6"/>
    <x v="1"/>
    <x v="7"/>
    <x v="2"/>
    <x v="3"/>
    <x v="5"/>
    <x v="6"/>
    <x v="6"/>
    <x v="7"/>
    <x v="7"/>
    <x v="7"/>
    <x v="6"/>
  </r>
  <r>
    <x v="8"/>
    <x v="8"/>
    <x v="8"/>
    <x v="8"/>
    <x v="8"/>
    <x v="7"/>
    <x v="0"/>
    <x v="8"/>
    <x v="4"/>
    <x v="3"/>
    <x v="1"/>
    <x v="7"/>
    <x v="7"/>
    <x v="8"/>
    <x v="8"/>
    <x v="8"/>
    <x v="7"/>
  </r>
  <r>
    <x v="9"/>
    <x v="9"/>
    <x v="9"/>
    <x v="9"/>
    <x v="9"/>
    <x v="3"/>
    <x v="2"/>
    <x v="9"/>
    <x v="5"/>
    <x v="1"/>
    <x v="3"/>
    <x v="8"/>
    <x v="8"/>
    <x v="9"/>
    <x v="9"/>
    <x v="9"/>
    <x v="8"/>
  </r>
  <r>
    <x v="10"/>
    <x v="10"/>
    <x v="10"/>
    <x v="10"/>
    <x v="10"/>
    <x v="8"/>
    <x v="3"/>
    <x v="10"/>
    <x v="6"/>
    <x v="4"/>
    <x v="4"/>
    <x v="9"/>
    <x v="9"/>
    <x v="10"/>
    <x v="10"/>
    <x v="10"/>
    <x v="9"/>
  </r>
  <r>
    <x v="11"/>
    <x v="11"/>
    <x v="11"/>
    <x v="11"/>
    <x v="11"/>
    <x v="0"/>
    <x v="4"/>
    <x v="11"/>
    <x v="4"/>
    <x v="3"/>
    <x v="1"/>
    <x v="10"/>
    <x v="0"/>
    <x v="11"/>
    <x v="11"/>
    <x v="11"/>
    <x v="10"/>
  </r>
  <r>
    <x v="12"/>
    <x v="12"/>
    <x v="12"/>
    <x v="12"/>
    <x v="12"/>
    <x v="9"/>
    <x v="5"/>
    <x v="12"/>
    <x v="6"/>
    <x v="1"/>
    <x v="5"/>
    <x v="1"/>
    <x v="10"/>
    <x v="12"/>
    <x v="12"/>
    <x v="12"/>
    <x v="11"/>
  </r>
  <r>
    <x v="13"/>
    <x v="13"/>
    <x v="13"/>
    <x v="13"/>
    <x v="13"/>
    <x v="10"/>
    <x v="0"/>
    <x v="13"/>
    <x v="7"/>
    <x v="1"/>
    <x v="2"/>
    <x v="11"/>
    <x v="7"/>
    <x v="13"/>
    <x v="13"/>
    <x v="13"/>
    <x v="12"/>
  </r>
  <r>
    <x v="14"/>
    <x v="14"/>
    <x v="14"/>
    <x v="14"/>
    <x v="14"/>
    <x v="11"/>
    <x v="4"/>
    <x v="14"/>
    <x v="2"/>
    <x v="1"/>
    <x v="4"/>
    <x v="9"/>
    <x v="6"/>
    <x v="14"/>
    <x v="14"/>
    <x v="14"/>
    <x v="13"/>
  </r>
  <r>
    <x v="15"/>
    <x v="15"/>
    <x v="15"/>
    <x v="15"/>
    <x v="15"/>
    <x v="12"/>
    <x v="0"/>
    <x v="15"/>
    <x v="2"/>
    <x v="0"/>
    <x v="6"/>
    <x v="12"/>
    <x v="10"/>
    <x v="15"/>
    <x v="15"/>
    <x v="15"/>
    <x v="14"/>
  </r>
  <r>
    <x v="16"/>
    <x v="16"/>
    <x v="16"/>
    <x v="16"/>
    <x v="16"/>
    <x v="3"/>
    <x v="5"/>
    <x v="16"/>
    <x v="5"/>
    <x v="1"/>
    <x v="3"/>
    <x v="13"/>
    <x v="9"/>
    <x v="16"/>
    <x v="16"/>
    <x v="16"/>
    <x v="15"/>
  </r>
  <r>
    <x v="17"/>
    <x v="17"/>
    <x v="17"/>
    <x v="17"/>
    <x v="17"/>
    <x v="13"/>
    <x v="4"/>
    <x v="17"/>
    <x v="2"/>
    <x v="3"/>
    <x v="5"/>
    <x v="12"/>
    <x v="11"/>
    <x v="17"/>
    <x v="17"/>
    <x v="17"/>
    <x v="16"/>
  </r>
  <r>
    <x v="18"/>
    <x v="18"/>
    <x v="18"/>
    <x v="18"/>
    <x v="18"/>
    <x v="3"/>
    <x v="1"/>
    <x v="18"/>
    <x v="1"/>
    <x v="3"/>
    <x v="4"/>
    <x v="12"/>
    <x v="8"/>
    <x v="18"/>
    <x v="18"/>
    <x v="18"/>
    <x v="17"/>
  </r>
  <r>
    <x v="19"/>
    <x v="19"/>
    <x v="19"/>
    <x v="19"/>
    <x v="19"/>
    <x v="14"/>
    <x v="0"/>
    <x v="19"/>
    <x v="7"/>
    <x v="2"/>
    <x v="6"/>
    <x v="6"/>
    <x v="11"/>
    <x v="19"/>
    <x v="19"/>
    <x v="19"/>
    <x v="18"/>
  </r>
  <r>
    <x v="20"/>
    <x v="20"/>
    <x v="20"/>
    <x v="20"/>
    <x v="20"/>
    <x v="15"/>
    <x v="4"/>
    <x v="20"/>
    <x v="5"/>
    <x v="2"/>
    <x v="7"/>
    <x v="10"/>
    <x v="12"/>
    <x v="20"/>
    <x v="20"/>
    <x v="20"/>
    <x v="19"/>
  </r>
  <r>
    <x v="21"/>
    <x v="21"/>
    <x v="21"/>
    <x v="21"/>
    <x v="21"/>
    <x v="16"/>
    <x v="6"/>
    <x v="21"/>
    <x v="2"/>
    <x v="5"/>
    <x v="8"/>
    <x v="1"/>
    <x v="5"/>
    <x v="21"/>
    <x v="21"/>
    <x v="21"/>
    <x v="20"/>
  </r>
  <r>
    <x v="22"/>
    <x v="22"/>
    <x v="22"/>
    <x v="22"/>
    <x v="22"/>
    <x v="17"/>
    <x v="1"/>
    <x v="22"/>
    <x v="6"/>
    <x v="5"/>
    <x v="6"/>
    <x v="14"/>
    <x v="8"/>
    <x v="22"/>
    <x v="22"/>
    <x v="22"/>
    <x v="21"/>
  </r>
  <r>
    <x v="23"/>
    <x v="23"/>
    <x v="23"/>
    <x v="23"/>
    <x v="23"/>
    <x v="18"/>
    <x v="0"/>
    <x v="23"/>
    <x v="1"/>
    <x v="3"/>
    <x v="4"/>
    <x v="13"/>
    <x v="4"/>
    <x v="23"/>
    <x v="23"/>
    <x v="23"/>
    <x v="22"/>
  </r>
  <r>
    <x v="24"/>
    <x v="24"/>
    <x v="24"/>
    <x v="24"/>
    <x v="24"/>
    <x v="19"/>
    <x v="5"/>
    <x v="24"/>
    <x v="2"/>
    <x v="5"/>
    <x v="8"/>
    <x v="15"/>
    <x v="12"/>
    <x v="24"/>
    <x v="24"/>
    <x v="24"/>
    <x v="23"/>
  </r>
  <r>
    <x v="25"/>
    <x v="25"/>
    <x v="25"/>
    <x v="25"/>
    <x v="25"/>
    <x v="15"/>
    <x v="2"/>
    <x v="9"/>
    <x v="2"/>
    <x v="4"/>
    <x v="1"/>
    <x v="16"/>
    <x v="6"/>
    <x v="25"/>
    <x v="25"/>
    <x v="25"/>
    <x v="24"/>
  </r>
  <r>
    <x v="26"/>
    <x v="26"/>
    <x v="26"/>
    <x v="26"/>
    <x v="26"/>
    <x v="20"/>
    <x v="5"/>
    <x v="25"/>
    <x v="7"/>
    <x v="2"/>
    <x v="6"/>
    <x v="17"/>
    <x v="13"/>
    <x v="26"/>
    <x v="26"/>
    <x v="26"/>
    <x v="25"/>
  </r>
  <r>
    <x v="27"/>
    <x v="27"/>
    <x v="27"/>
    <x v="27"/>
    <x v="27"/>
    <x v="21"/>
    <x v="2"/>
    <x v="9"/>
    <x v="6"/>
    <x v="5"/>
    <x v="6"/>
    <x v="18"/>
    <x v="4"/>
    <x v="27"/>
    <x v="27"/>
    <x v="27"/>
    <x v="26"/>
  </r>
  <r>
    <x v="28"/>
    <x v="28"/>
    <x v="28"/>
    <x v="28"/>
    <x v="28"/>
    <x v="0"/>
    <x v="4"/>
    <x v="26"/>
    <x v="2"/>
    <x v="0"/>
    <x v="6"/>
    <x v="19"/>
    <x v="14"/>
    <x v="28"/>
    <x v="28"/>
    <x v="28"/>
    <x v="27"/>
  </r>
  <r>
    <x v="29"/>
    <x v="29"/>
    <x v="29"/>
    <x v="29"/>
    <x v="29"/>
    <x v="15"/>
    <x v="5"/>
    <x v="27"/>
    <x v="0"/>
    <x v="5"/>
    <x v="7"/>
    <x v="20"/>
    <x v="9"/>
    <x v="29"/>
    <x v="29"/>
    <x v="29"/>
    <x v="28"/>
  </r>
  <r>
    <x v="30"/>
    <x v="30"/>
    <x v="30"/>
    <x v="30"/>
    <x v="30"/>
    <x v="22"/>
    <x v="4"/>
    <x v="28"/>
    <x v="2"/>
    <x v="4"/>
    <x v="1"/>
    <x v="16"/>
    <x v="15"/>
    <x v="30"/>
    <x v="30"/>
    <x v="30"/>
    <x v="29"/>
  </r>
  <r>
    <x v="31"/>
    <x v="31"/>
    <x v="31"/>
    <x v="31"/>
    <x v="31"/>
    <x v="3"/>
    <x v="2"/>
    <x v="9"/>
    <x v="6"/>
    <x v="0"/>
    <x v="3"/>
    <x v="21"/>
    <x v="9"/>
    <x v="31"/>
    <x v="31"/>
    <x v="31"/>
    <x v="30"/>
  </r>
  <r>
    <x v="32"/>
    <x v="32"/>
    <x v="32"/>
    <x v="32"/>
    <x v="32"/>
    <x v="23"/>
    <x v="0"/>
    <x v="29"/>
    <x v="3"/>
    <x v="2"/>
    <x v="3"/>
    <x v="22"/>
    <x v="16"/>
    <x v="32"/>
    <x v="32"/>
    <x v="32"/>
    <x v="31"/>
  </r>
  <r>
    <x v="33"/>
    <x v="33"/>
    <x v="33"/>
    <x v="33"/>
    <x v="33"/>
    <x v="15"/>
    <x v="0"/>
    <x v="30"/>
    <x v="4"/>
    <x v="5"/>
    <x v="5"/>
    <x v="23"/>
    <x v="7"/>
    <x v="33"/>
    <x v="33"/>
    <x v="33"/>
    <x v="32"/>
  </r>
  <r>
    <x v="34"/>
    <x v="34"/>
    <x v="34"/>
    <x v="34"/>
    <x v="34"/>
    <x v="15"/>
    <x v="4"/>
    <x v="31"/>
    <x v="6"/>
    <x v="1"/>
    <x v="5"/>
    <x v="24"/>
    <x v="7"/>
    <x v="34"/>
    <x v="34"/>
    <x v="34"/>
    <x v="33"/>
  </r>
  <r>
    <x v="35"/>
    <x v="35"/>
    <x v="35"/>
    <x v="35"/>
    <x v="35"/>
    <x v="15"/>
    <x v="4"/>
    <x v="32"/>
    <x v="6"/>
    <x v="2"/>
    <x v="8"/>
    <x v="25"/>
    <x v="9"/>
    <x v="35"/>
    <x v="35"/>
    <x v="35"/>
    <x v="34"/>
  </r>
  <r>
    <x v="36"/>
    <x v="36"/>
    <x v="36"/>
    <x v="36"/>
    <x v="36"/>
    <x v="15"/>
    <x v="2"/>
    <x v="9"/>
    <x v="1"/>
    <x v="4"/>
    <x v="9"/>
    <x v="23"/>
    <x v="17"/>
    <x v="36"/>
    <x v="36"/>
    <x v="36"/>
    <x v="35"/>
  </r>
  <r>
    <x v="37"/>
    <x v="37"/>
    <x v="37"/>
    <x v="37"/>
    <x v="37"/>
    <x v="24"/>
    <x v="0"/>
    <x v="33"/>
    <x v="7"/>
    <x v="3"/>
    <x v="8"/>
    <x v="23"/>
    <x v="11"/>
    <x v="37"/>
    <x v="37"/>
    <x v="37"/>
    <x v="36"/>
  </r>
  <r>
    <x v="38"/>
    <x v="38"/>
    <x v="38"/>
    <x v="38"/>
    <x v="38"/>
    <x v="25"/>
    <x v="0"/>
    <x v="34"/>
    <x v="6"/>
    <x v="4"/>
    <x v="4"/>
    <x v="26"/>
    <x v="2"/>
    <x v="38"/>
    <x v="38"/>
    <x v="38"/>
    <x v="37"/>
  </r>
  <r>
    <x v="39"/>
    <x v="39"/>
    <x v="39"/>
    <x v="39"/>
    <x v="39"/>
    <x v="26"/>
    <x v="0"/>
    <x v="35"/>
    <x v="6"/>
    <x v="3"/>
    <x v="2"/>
    <x v="27"/>
    <x v="8"/>
    <x v="39"/>
    <x v="39"/>
    <x v="39"/>
    <x v="38"/>
  </r>
  <r>
    <x v="40"/>
    <x v="40"/>
    <x v="40"/>
    <x v="40"/>
    <x v="40"/>
    <x v="27"/>
    <x v="5"/>
    <x v="36"/>
    <x v="2"/>
    <x v="1"/>
    <x v="4"/>
    <x v="28"/>
    <x v="18"/>
    <x v="40"/>
    <x v="40"/>
    <x v="40"/>
    <x v="39"/>
  </r>
  <r>
    <x v="41"/>
    <x v="41"/>
    <x v="41"/>
    <x v="41"/>
    <x v="41"/>
    <x v="28"/>
    <x v="2"/>
    <x v="9"/>
    <x v="5"/>
    <x v="5"/>
    <x v="0"/>
    <x v="23"/>
    <x v="12"/>
    <x v="41"/>
    <x v="41"/>
    <x v="41"/>
    <x v="40"/>
  </r>
  <r>
    <x v="42"/>
    <x v="42"/>
    <x v="42"/>
    <x v="42"/>
    <x v="42"/>
    <x v="29"/>
    <x v="0"/>
    <x v="37"/>
    <x v="1"/>
    <x v="2"/>
    <x v="5"/>
    <x v="29"/>
    <x v="4"/>
    <x v="42"/>
    <x v="42"/>
    <x v="42"/>
    <x v="41"/>
  </r>
  <r>
    <x v="43"/>
    <x v="43"/>
    <x v="43"/>
    <x v="43"/>
    <x v="43"/>
    <x v="15"/>
    <x v="2"/>
    <x v="9"/>
    <x v="2"/>
    <x v="3"/>
    <x v="5"/>
    <x v="30"/>
    <x v="19"/>
    <x v="43"/>
    <x v="43"/>
    <x v="43"/>
    <x v="42"/>
  </r>
  <r>
    <x v="44"/>
    <x v="44"/>
    <x v="44"/>
    <x v="44"/>
    <x v="44"/>
    <x v="3"/>
    <x v="5"/>
    <x v="38"/>
    <x v="7"/>
    <x v="5"/>
    <x v="3"/>
    <x v="31"/>
    <x v="16"/>
    <x v="44"/>
    <x v="44"/>
    <x v="44"/>
    <x v="43"/>
  </r>
  <r>
    <x v="45"/>
    <x v="45"/>
    <x v="45"/>
    <x v="45"/>
    <x v="45"/>
    <x v="30"/>
    <x v="1"/>
    <x v="39"/>
    <x v="3"/>
    <x v="0"/>
    <x v="7"/>
    <x v="5"/>
    <x v="17"/>
    <x v="45"/>
    <x v="45"/>
    <x v="45"/>
    <x v="44"/>
  </r>
  <r>
    <x v="46"/>
    <x v="46"/>
    <x v="46"/>
    <x v="46"/>
    <x v="46"/>
    <x v="3"/>
    <x v="4"/>
    <x v="40"/>
    <x v="7"/>
    <x v="3"/>
    <x v="8"/>
    <x v="12"/>
    <x v="5"/>
    <x v="46"/>
    <x v="46"/>
    <x v="46"/>
    <x v="45"/>
  </r>
  <r>
    <x v="47"/>
    <x v="47"/>
    <x v="47"/>
    <x v="47"/>
    <x v="47"/>
    <x v="15"/>
    <x v="0"/>
    <x v="41"/>
    <x v="2"/>
    <x v="1"/>
    <x v="4"/>
    <x v="32"/>
    <x v="20"/>
    <x v="47"/>
    <x v="47"/>
    <x v="47"/>
    <x v="46"/>
  </r>
  <r>
    <x v="48"/>
    <x v="48"/>
    <x v="48"/>
    <x v="48"/>
    <x v="48"/>
    <x v="31"/>
    <x v="6"/>
    <x v="42"/>
    <x v="4"/>
    <x v="3"/>
    <x v="1"/>
    <x v="22"/>
    <x v="1"/>
    <x v="48"/>
    <x v="48"/>
    <x v="48"/>
    <x v="47"/>
  </r>
  <r>
    <x v="49"/>
    <x v="49"/>
    <x v="49"/>
    <x v="49"/>
    <x v="49"/>
    <x v="32"/>
    <x v="2"/>
    <x v="9"/>
    <x v="7"/>
    <x v="3"/>
    <x v="8"/>
    <x v="23"/>
    <x v="5"/>
    <x v="49"/>
    <x v="49"/>
    <x v="49"/>
    <x v="48"/>
  </r>
  <r>
    <x v="50"/>
    <x v="50"/>
    <x v="50"/>
    <x v="50"/>
    <x v="50"/>
    <x v="33"/>
    <x v="7"/>
    <x v="43"/>
    <x v="8"/>
    <x v="6"/>
    <x v="10"/>
    <x v="33"/>
    <x v="21"/>
    <x v="50"/>
    <x v="50"/>
    <x v="50"/>
    <x v="49"/>
  </r>
  <r>
    <x v="50"/>
    <x v="50"/>
    <x v="50"/>
    <x v="50"/>
    <x v="50"/>
    <x v="33"/>
    <x v="7"/>
    <x v="43"/>
    <x v="8"/>
    <x v="6"/>
    <x v="10"/>
    <x v="33"/>
    <x v="21"/>
    <x v="51"/>
    <x v="51"/>
    <x v="51"/>
    <x v="50"/>
  </r>
  <r>
    <x v="50"/>
    <x v="50"/>
    <x v="50"/>
    <x v="50"/>
    <x v="50"/>
    <x v="33"/>
    <x v="7"/>
    <x v="43"/>
    <x v="8"/>
    <x v="6"/>
    <x v="10"/>
    <x v="33"/>
    <x v="21"/>
    <x v="52"/>
    <x v="52"/>
    <x v="52"/>
    <x v="51"/>
  </r>
  <r>
    <x v="50"/>
    <x v="50"/>
    <x v="50"/>
    <x v="50"/>
    <x v="50"/>
    <x v="33"/>
    <x v="7"/>
    <x v="43"/>
    <x v="8"/>
    <x v="6"/>
    <x v="10"/>
    <x v="33"/>
    <x v="21"/>
    <x v="53"/>
    <x v="53"/>
    <x v="53"/>
    <x v="52"/>
  </r>
  <r>
    <x v="50"/>
    <x v="50"/>
    <x v="50"/>
    <x v="50"/>
    <x v="50"/>
    <x v="33"/>
    <x v="7"/>
    <x v="43"/>
    <x v="8"/>
    <x v="6"/>
    <x v="10"/>
    <x v="33"/>
    <x v="21"/>
    <x v="54"/>
    <x v="54"/>
    <x v="54"/>
    <x v="46"/>
  </r>
  <r>
    <x v="50"/>
    <x v="50"/>
    <x v="50"/>
    <x v="50"/>
    <x v="50"/>
    <x v="33"/>
    <x v="7"/>
    <x v="43"/>
    <x v="8"/>
    <x v="6"/>
    <x v="10"/>
    <x v="33"/>
    <x v="21"/>
    <x v="55"/>
    <x v="55"/>
    <x v="55"/>
    <x v="53"/>
  </r>
  <r>
    <x v="50"/>
    <x v="50"/>
    <x v="50"/>
    <x v="50"/>
    <x v="50"/>
    <x v="33"/>
    <x v="7"/>
    <x v="43"/>
    <x v="8"/>
    <x v="6"/>
    <x v="10"/>
    <x v="33"/>
    <x v="21"/>
    <x v="56"/>
    <x v="56"/>
    <x v="56"/>
    <x v="31"/>
  </r>
  <r>
    <x v="50"/>
    <x v="50"/>
    <x v="50"/>
    <x v="50"/>
    <x v="50"/>
    <x v="33"/>
    <x v="7"/>
    <x v="43"/>
    <x v="8"/>
    <x v="6"/>
    <x v="10"/>
    <x v="33"/>
    <x v="21"/>
    <x v="57"/>
    <x v="57"/>
    <x v="57"/>
    <x v="54"/>
  </r>
  <r>
    <x v="50"/>
    <x v="50"/>
    <x v="50"/>
    <x v="50"/>
    <x v="50"/>
    <x v="33"/>
    <x v="7"/>
    <x v="43"/>
    <x v="8"/>
    <x v="6"/>
    <x v="10"/>
    <x v="33"/>
    <x v="21"/>
    <x v="58"/>
    <x v="58"/>
    <x v="58"/>
    <x v="55"/>
  </r>
  <r>
    <x v="50"/>
    <x v="50"/>
    <x v="50"/>
    <x v="50"/>
    <x v="50"/>
    <x v="33"/>
    <x v="7"/>
    <x v="43"/>
    <x v="8"/>
    <x v="6"/>
    <x v="10"/>
    <x v="33"/>
    <x v="21"/>
    <x v="59"/>
    <x v="59"/>
    <x v="59"/>
    <x v="18"/>
  </r>
  <r>
    <x v="50"/>
    <x v="50"/>
    <x v="50"/>
    <x v="50"/>
    <x v="50"/>
    <x v="33"/>
    <x v="7"/>
    <x v="43"/>
    <x v="8"/>
    <x v="6"/>
    <x v="10"/>
    <x v="33"/>
    <x v="21"/>
    <x v="60"/>
    <x v="60"/>
    <x v="60"/>
    <x v="49"/>
  </r>
  <r>
    <x v="50"/>
    <x v="50"/>
    <x v="50"/>
    <x v="50"/>
    <x v="50"/>
    <x v="33"/>
    <x v="7"/>
    <x v="43"/>
    <x v="8"/>
    <x v="6"/>
    <x v="10"/>
    <x v="33"/>
    <x v="21"/>
    <x v="61"/>
    <x v="61"/>
    <x v="61"/>
    <x v="12"/>
  </r>
  <r>
    <x v="50"/>
    <x v="50"/>
    <x v="50"/>
    <x v="50"/>
    <x v="50"/>
    <x v="33"/>
    <x v="7"/>
    <x v="43"/>
    <x v="8"/>
    <x v="6"/>
    <x v="10"/>
    <x v="33"/>
    <x v="21"/>
    <x v="62"/>
    <x v="62"/>
    <x v="62"/>
    <x v="56"/>
  </r>
  <r>
    <x v="50"/>
    <x v="50"/>
    <x v="50"/>
    <x v="50"/>
    <x v="50"/>
    <x v="33"/>
    <x v="7"/>
    <x v="43"/>
    <x v="8"/>
    <x v="6"/>
    <x v="10"/>
    <x v="33"/>
    <x v="21"/>
    <x v="63"/>
    <x v="63"/>
    <x v="63"/>
    <x v="57"/>
  </r>
  <r>
    <x v="50"/>
    <x v="50"/>
    <x v="50"/>
    <x v="50"/>
    <x v="50"/>
    <x v="33"/>
    <x v="7"/>
    <x v="43"/>
    <x v="8"/>
    <x v="6"/>
    <x v="10"/>
    <x v="33"/>
    <x v="21"/>
    <x v="64"/>
    <x v="64"/>
    <x v="64"/>
    <x v="40"/>
  </r>
  <r>
    <x v="50"/>
    <x v="50"/>
    <x v="50"/>
    <x v="50"/>
    <x v="50"/>
    <x v="33"/>
    <x v="7"/>
    <x v="43"/>
    <x v="8"/>
    <x v="6"/>
    <x v="10"/>
    <x v="33"/>
    <x v="21"/>
    <x v="65"/>
    <x v="65"/>
    <x v="65"/>
    <x v="58"/>
  </r>
  <r>
    <x v="50"/>
    <x v="50"/>
    <x v="50"/>
    <x v="50"/>
    <x v="50"/>
    <x v="33"/>
    <x v="7"/>
    <x v="43"/>
    <x v="8"/>
    <x v="6"/>
    <x v="10"/>
    <x v="33"/>
    <x v="21"/>
    <x v="66"/>
    <x v="66"/>
    <x v="66"/>
    <x v="59"/>
  </r>
  <r>
    <x v="50"/>
    <x v="50"/>
    <x v="50"/>
    <x v="50"/>
    <x v="50"/>
    <x v="33"/>
    <x v="7"/>
    <x v="43"/>
    <x v="8"/>
    <x v="6"/>
    <x v="10"/>
    <x v="33"/>
    <x v="21"/>
    <x v="67"/>
    <x v="67"/>
    <x v="67"/>
    <x v="60"/>
  </r>
  <r>
    <x v="50"/>
    <x v="50"/>
    <x v="50"/>
    <x v="50"/>
    <x v="50"/>
    <x v="33"/>
    <x v="7"/>
    <x v="43"/>
    <x v="8"/>
    <x v="6"/>
    <x v="10"/>
    <x v="33"/>
    <x v="21"/>
    <x v="68"/>
    <x v="68"/>
    <x v="68"/>
    <x v="61"/>
  </r>
  <r>
    <x v="50"/>
    <x v="50"/>
    <x v="50"/>
    <x v="50"/>
    <x v="50"/>
    <x v="33"/>
    <x v="7"/>
    <x v="43"/>
    <x v="8"/>
    <x v="6"/>
    <x v="10"/>
    <x v="33"/>
    <x v="21"/>
    <x v="69"/>
    <x v="69"/>
    <x v="69"/>
    <x v="62"/>
  </r>
  <r>
    <x v="50"/>
    <x v="50"/>
    <x v="50"/>
    <x v="50"/>
    <x v="50"/>
    <x v="33"/>
    <x v="7"/>
    <x v="43"/>
    <x v="8"/>
    <x v="6"/>
    <x v="10"/>
    <x v="33"/>
    <x v="21"/>
    <x v="70"/>
    <x v="70"/>
    <x v="70"/>
    <x v="63"/>
  </r>
  <r>
    <x v="50"/>
    <x v="50"/>
    <x v="50"/>
    <x v="50"/>
    <x v="50"/>
    <x v="33"/>
    <x v="7"/>
    <x v="43"/>
    <x v="8"/>
    <x v="6"/>
    <x v="10"/>
    <x v="33"/>
    <x v="21"/>
    <x v="71"/>
    <x v="71"/>
    <x v="71"/>
    <x v="64"/>
  </r>
  <r>
    <x v="50"/>
    <x v="50"/>
    <x v="50"/>
    <x v="50"/>
    <x v="50"/>
    <x v="33"/>
    <x v="7"/>
    <x v="43"/>
    <x v="8"/>
    <x v="6"/>
    <x v="10"/>
    <x v="33"/>
    <x v="21"/>
    <x v="72"/>
    <x v="72"/>
    <x v="72"/>
    <x v="65"/>
  </r>
  <r>
    <x v="50"/>
    <x v="50"/>
    <x v="50"/>
    <x v="50"/>
    <x v="50"/>
    <x v="33"/>
    <x v="7"/>
    <x v="43"/>
    <x v="8"/>
    <x v="6"/>
    <x v="10"/>
    <x v="33"/>
    <x v="21"/>
    <x v="73"/>
    <x v="73"/>
    <x v="73"/>
    <x v="12"/>
  </r>
  <r>
    <x v="50"/>
    <x v="50"/>
    <x v="50"/>
    <x v="50"/>
    <x v="50"/>
    <x v="33"/>
    <x v="7"/>
    <x v="43"/>
    <x v="8"/>
    <x v="6"/>
    <x v="10"/>
    <x v="33"/>
    <x v="21"/>
    <x v="74"/>
    <x v="74"/>
    <x v="74"/>
    <x v="66"/>
  </r>
  <r>
    <x v="50"/>
    <x v="50"/>
    <x v="50"/>
    <x v="50"/>
    <x v="50"/>
    <x v="33"/>
    <x v="7"/>
    <x v="43"/>
    <x v="8"/>
    <x v="6"/>
    <x v="10"/>
    <x v="33"/>
    <x v="21"/>
    <x v="75"/>
    <x v="75"/>
    <x v="75"/>
    <x v="67"/>
  </r>
  <r>
    <x v="50"/>
    <x v="50"/>
    <x v="50"/>
    <x v="50"/>
    <x v="50"/>
    <x v="33"/>
    <x v="7"/>
    <x v="43"/>
    <x v="8"/>
    <x v="6"/>
    <x v="10"/>
    <x v="33"/>
    <x v="21"/>
    <x v="76"/>
    <x v="76"/>
    <x v="76"/>
    <x v="68"/>
  </r>
  <r>
    <x v="50"/>
    <x v="50"/>
    <x v="50"/>
    <x v="50"/>
    <x v="50"/>
    <x v="33"/>
    <x v="7"/>
    <x v="43"/>
    <x v="8"/>
    <x v="6"/>
    <x v="10"/>
    <x v="33"/>
    <x v="21"/>
    <x v="77"/>
    <x v="77"/>
    <x v="77"/>
    <x v="69"/>
  </r>
  <r>
    <x v="50"/>
    <x v="50"/>
    <x v="50"/>
    <x v="50"/>
    <x v="50"/>
    <x v="33"/>
    <x v="7"/>
    <x v="43"/>
    <x v="8"/>
    <x v="6"/>
    <x v="10"/>
    <x v="33"/>
    <x v="21"/>
    <x v="78"/>
    <x v="78"/>
    <x v="78"/>
    <x v="70"/>
  </r>
  <r>
    <x v="50"/>
    <x v="50"/>
    <x v="50"/>
    <x v="50"/>
    <x v="50"/>
    <x v="33"/>
    <x v="7"/>
    <x v="43"/>
    <x v="8"/>
    <x v="6"/>
    <x v="10"/>
    <x v="33"/>
    <x v="21"/>
    <x v="79"/>
    <x v="79"/>
    <x v="79"/>
    <x v="71"/>
  </r>
  <r>
    <x v="50"/>
    <x v="50"/>
    <x v="50"/>
    <x v="50"/>
    <x v="50"/>
    <x v="33"/>
    <x v="7"/>
    <x v="43"/>
    <x v="8"/>
    <x v="6"/>
    <x v="10"/>
    <x v="33"/>
    <x v="21"/>
    <x v="80"/>
    <x v="80"/>
    <x v="80"/>
    <x v="72"/>
  </r>
  <r>
    <x v="50"/>
    <x v="50"/>
    <x v="50"/>
    <x v="50"/>
    <x v="50"/>
    <x v="33"/>
    <x v="7"/>
    <x v="43"/>
    <x v="8"/>
    <x v="6"/>
    <x v="10"/>
    <x v="33"/>
    <x v="21"/>
    <x v="81"/>
    <x v="81"/>
    <x v="81"/>
    <x v="73"/>
  </r>
  <r>
    <x v="50"/>
    <x v="50"/>
    <x v="50"/>
    <x v="50"/>
    <x v="50"/>
    <x v="33"/>
    <x v="7"/>
    <x v="43"/>
    <x v="8"/>
    <x v="6"/>
    <x v="10"/>
    <x v="33"/>
    <x v="21"/>
    <x v="82"/>
    <x v="82"/>
    <x v="82"/>
    <x v="24"/>
  </r>
  <r>
    <x v="50"/>
    <x v="50"/>
    <x v="50"/>
    <x v="50"/>
    <x v="50"/>
    <x v="33"/>
    <x v="7"/>
    <x v="43"/>
    <x v="8"/>
    <x v="6"/>
    <x v="10"/>
    <x v="33"/>
    <x v="21"/>
    <x v="83"/>
    <x v="83"/>
    <x v="83"/>
    <x v="74"/>
  </r>
  <r>
    <x v="50"/>
    <x v="50"/>
    <x v="50"/>
    <x v="50"/>
    <x v="50"/>
    <x v="33"/>
    <x v="7"/>
    <x v="43"/>
    <x v="8"/>
    <x v="6"/>
    <x v="10"/>
    <x v="33"/>
    <x v="21"/>
    <x v="84"/>
    <x v="84"/>
    <x v="84"/>
    <x v="75"/>
  </r>
  <r>
    <x v="50"/>
    <x v="50"/>
    <x v="50"/>
    <x v="50"/>
    <x v="50"/>
    <x v="33"/>
    <x v="7"/>
    <x v="43"/>
    <x v="8"/>
    <x v="6"/>
    <x v="10"/>
    <x v="33"/>
    <x v="21"/>
    <x v="85"/>
    <x v="85"/>
    <x v="85"/>
    <x v="76"/>
  </r>
  <r>
    <x v="50"/>
    <x v="50"/>
    <x v="50"/>
    <x v="50"/>
    <x v="50"/>
    <x v="33"/>
    <x v="7"/>
    <x v="43"/>
    <x v="8"/>
    <x v="6"/>
    <x v="10"/>
    <x v="33"/>
    <x v="21"/>
    <x v="86"/>
    <x v="86"/>
    <x v="86"/>
    <x v="77"/>
  </r>
  <r>
    <x v="50"/>
    <x v="50"/>
    <x v="50"/>
    <x v="50"/>
    <x v="50"/>
    <x v="33"/>
    <x v="7"/>
    <x v="43"/>
    <x v="8"/>
    <x v="6"/>
    <x v="10"/>
    <x v="33"/>
    <x v="21"/>
    <x v="87"/>
    <x v="87"/>
    <x v="87"/>
    <x v="78"/>
  </r>
  <r>
    <x v="50"/>
    <x v="50"/>
    <x v="50"/>
    <x v="50"/>
    <x v="50"/>
    <x v="33"/>
    <x v="7"/>
    <x v="43"/>
    <x v="8"/>
    <x v="6"/>
    <x v="10"/>
    <x v="33"/>
    <x v="21"/>
    <x v="88"/>
    <x v="88"/>
    <x v="88"/>
    <x v="79"/>
  </r>
  <r>
    <x v="50"/>
    <x v="50"/>
    <x v="50"/>
    <x v="50"/>
    <x v="50"/>
    <x v="33"/>
    <x v="7"/>
    <x v="43"/>
    <x v="8"/>
    <x v="6"/>
    <x v="10"/>
    <x v="33"/>
    <x v="21"/>
    <x v="89"/>
    <x v="89"/>
    <x v="89"/>
    <x v="8"/>
  </r>
  <r>
    <x v="50"/>
    <x v="50"/>
    <x v="50"/>
    <x v="50"/>
    <x v="50"/>
    <x v="33"/>
    <x v="7"/>
    <x v="43"/>
    <x v="8"/>
    <x v="6"/>
    <x v="10"/>
    <x v="33"/>
    <x v="21"/>
    <x v="90"/>
    <x v="90"/>
    <x v="90"/>
    <x v="80"/>
  </r>
  <r>
    <x v="50"/>
    <x v="50"/>
    <x v="50"/>
    <x v="50"/>
    <x v="50"/>
    <x v="33"/>
    <x v="7"/>
    <x v="43"/>
    <x v="8"/>
    <x v="6"/>
    <x v="10"/>
    <x v="33"/>
    <x v="21"/>
    <x v="91"/>
    <x v="91"/>
    <x v="91"/>
    <x v="81"/>
  </r>
  <r>
    <x v="50"/>
    <x v="50"/>
    <x v="50"/>
    <x v="50"/>
    <x v="50"/>
    <x v="33"/>
    <x v="7"/>
    <x v="43"/>
    <x v="8"/>
    <x v="6"/>
    <x v="10"/>
    <x v="33"/>
    <x v="21"/>
    <x v="92"/>
    <x v="92"/>
    <x v="92"/>
    <x v="82"/>
  </r>
  <r>
    <x v="50"/>
    <x v="50"/>
    <x v="50"/>
    <x v="50"/>
    <x v="50"/>
    <x v="33"/>
    <x v="7"/>
    <x v="43"/>
    <x v="8"/>
    <x v="6"/>
    <x v="10"/>
    <x v="33"/>
    <x v="21"/>
    <x v="93"/>
    <x v="93"/>
    <x v="93"/>
    <x v="83"/>
  </r>
  <r>
    <x v="50"/>
    <x v="50"/>
    <x v="50"/>
    <x v="50"/>
    <x v="50"/>
    <x v="33"/>
    <x v="7"/>
    <x v="43"/>
    <x v="8"/>
    <x v="6"/>
    <x v="10"/>
    <x v="33"/>
    <x v="21"/>
    <x v="94"/>
    <x v="94"/>
    <x v="94"/>
    <x v="54"/>
  </r>
  <r>
    <x v="50"/>
    <x v="50"/>
    <x v="50"/>
    <x v="50"/>
    <x v="50"/>
    <x v="33"/>
    <x v="7"/>
    <x v="43"/>
    <x v="8"/>
    <x v="6"/>
    <x v="10"/>
    <x v="33"/>
    <x v="21"/>
    <x v="95"/>
    <x v="95"/>
    <x v="95"/>
    <x v="84"/>
  </r>
  <r>
    <x v="50"/>
    <x v="50"/>
    <x v="50"/>
    <x v="50"/>
    <x v="50"/>
    <x v="33"/>
    <x v="7"/>
    <x v="43"/>
    <x v="8"/>
    <x v="6"/>
    <x v="10"/>
    <x v="33"/>
    <x v="21"/>
    <x v="96"/>
    <x v="96"/>
    <x v="96"/>
    <x v="85"/>
  </r>
  <r>
    <x v="50"/>
    <x v="50"/>
    <x v="50"/>
    <x v="50"/>
    <x v="50"/>
    <x v="33"/>
    <x v="7"/>
    <x v="43"/>
    <x v="8"/>
    <x v="6"/>
    <x v="10"/>
    <x v="33"/>
    <x v="21"/>
    <x v="97"/>
    <x v="97"/>
    <x v="97"/>
    <x v="21"/>
  </r>
  <r>
    <x v="50"/>
    <x v="50"/>
    <x v="50"/>
    <x v="50"/>
    <x v="50"/>
    <x v="33"/>
    <x v="7"/>
    <x v="43"/>
    <x v="8"/>
    <x v="6"/>
    <x v="10"/>
    <x v="33"/>
    <x v="21"/>
    <x v="98"/>
    <x v="98"/>
    <x v="98"/>
    <x v="86"/>
  </r>
  <r>
    <x v="50"/>
    <x v="50"/>
    <x v="50"/>
    <x v="50"/>
    <x v="50"/>
    <x v="33"/>
    <x v="7"/>
    <x v="43"/>
    <x v="8"/>
    <x v="6"/>
    <x v="10"/>
    <x v="33"/>
    <x v="21"/>
    <x v="99"/>
    <x v="99"/>
    <x v="99"/>
    <x v="87"/>
  </r>
  <r>
    <x v="50"/>
    <x v="50"/>
    <x v="50"/>
    <x v="50"/>
    <x v="50"/>
    <x v="33"/>
    <x v="7"/>
    <x v="43"/>
    <x v="8"/>
    <x v="6"/>
    <x v="10"/>
    <x v="33"/>
    <x v="21"/>
    <x v="100"/>
    <x v="100"/>
    <x v="100"/>
    <x v="88"/>
  </r>
  <r>
    <x v="50"/>
    <x v="50"/>
    <x v="50"/>
    <x v="50"/>
    <x v="50"/>
    <x v="33"/>
    <x v="7"/>
    <x v="43"/>
    <x v="8"/>
    <x v="6"/>
    <x v="10"/>
    <x v="33"/>
    <x v="21"/>
    <x v="100"/>
    <x v="101"/>
    <x v="101"/>
    <x v="88"/>
  </r>
  <r>
    <x v="50"/>
    <x v="50"/>
    <x v="50"/>
    <x v="50"/>
    <x v="50"/>
    <x v="33"/>
    <x v="7"/>
    <x v="43"/>
    <x v="8"/>
    <x v="6"/>
    <x v="10"/>
    <x v="33"/>
    <x v="21"/>
    <x v="100"/>
    <x v="102"/>
    <x v="102"/>
    <x v="88"/>
  </r>
  <r>
    <x v="50"/>
    <x v="50"/>
    <x v="50"/>
    <x v="50"/>
    <x v="50"/>
    <x v="33"/>
    <x v="7"/>
    <x v="43"/>
    <x v="8"/>
    <x v="6"/>
    <x v="10"/>
    <x v="33"/>
    <x v="21"/>
    <x v="100"/>
    <x v="103"/>
    <x v="103"/>
    <x v="88"/>
  </r>
  <r>
    <x v="50"/>
    <x v="50"/>
    <x v="50"/>
    <x v="50"/>
    <x v="50"/>
    <x v="33"/>
    <x v="7"/>
    <x v="43"/>
    <x v="8"/>
    <x v="6"/>
    <x v="10"/>
    <x v="33"/>
    <x v="21"/>
    <x v="100"/>
    <x v="104"/>
    <x v="104"/>
    <x v="88"/>
  </r>
  <r>
    <x v="50"/>
    <x v="50"/>
    <x v="50"/>
    <x v="50"/>
    <x v="50"/>
    <x v="33"/>
    <x v="7"/>
    <x v="43"/>
    <x v="8"/>
    <x v="6"/>
    <x v="10"/>
    <x v="33"/>
    <x v="21"/>
    <x v="100"/>
    <x v="105"/>
    <x v="105"/>
    <x v="88"/>
  </r>
  <r>
    <x v="50"/>
    <x v="50"/>
    <x v="50"/>
    <x v="50"/>
    <x v="50"/>
    <x v="33"/>
    <x v="7"/>
    <x v="43"/>
    <x v="8"/>
    <x v="6"/>
    <x v="10"/>
    <x v="33"/>
    <x v="21"/>
    <x v="100"/>
    <x v="106"/>
    <x v="106"/>
    <x v="88"/>
  </r>
  <r>
    <x v="50"/>
    <x v="50"/>
    <x v="50"/>
    <x v="50"/>
    <x v="50"/>
    <x v="33"/>
    <x v="7"/>
    <x v="43"/>
    <x v="8"/>
    <x v="6"/>
    <x v="10"/>
    <x v="33"/>
    <x v="21"/>
    <x v="100"/>
    <x v="107"/>
    <x v="107"/>
    <x v="88"/>
  </r>
  <r>
    <x v="50"/>
    <x v="50"/>
    <x v="50"/>
    <x v="50"/>
    <x v="50"/>
    <x v="33"/>
    <x v="7"/>
    <x v="43"/>
    <x v="8"/>
    <x v="6"/>
    <x v="10"/>
    <x v="33"/>
    <x v="21"/>
    <x v="100"/>
    <x v="108"/>
    <x v="108"/>
    <x v="88"/>
  </r>
  <r>
    <x v="50"/>
    <x v="50"/>
    <x v="50"/>
    <x v="50"/>
    <x v="50"/>
    <x v="33"/>
    <x v="7"/>
    <x v="43"/>
    <x v="8"/>
    <x v="6"/>
    <x v="10"/>
    <x v="33"/>
    <x v="21"/>
    <x v="100"/>
    <x v="109"/>
    <x v="109"/>
    <x v="88"/>
  </r>
  <r>
    <x v="50"/>
    <x v="50"/>
    <x v="50"/>
    <x v="50"/>
    <x v="50"/>
    <x v="33"/>
    <x v="7"/>
    <x v="43"/>
    <x v="8"/>
    <x v="6"/>
    <x v="10"/>
    <x v="33"/>
    <x v="21"/>
    <x v="100"/>
    <x v="110"/>
    <x v="110"/>
    <x v="88"/>
  </r>
  <r>
    <x v="50"/>
    <x v="50"/>
    <x v="50"/>
    <x v="50"/>
    <x v="50"/>
    <x v="33"/>
    <x v="7"/>
    <x v="43"/>
    <x v="8"/>
    <x v="6"/>
    <x v="10"/>
    <x v="33"/>
    <x v="21"/>
    <x v="100"/>
    <x v="111"/>
    <x v="111"/>
    <x v="88"/>
  </r>
  <r>
    <x v="50"/>
    <x v="50"/>
    <x v="50"/>
    <x v="50"/>
    <x v="50"/>
    <x v="33"/>
    <x v="7"/>
    <x v="43"/>
    <x v="8"/>
    <x v="6"/>
    <x v="10"/>
    <x v="33"/>
    <x v="21"/>
    <x v="100"/>
    <x v="112"/>
    <x v="112"/>
    <x v="88"/>
  </r>
  <r>
    <x v="50"/>
    <x v="50"/>
    <x v="50"/>
    <x v="50"/>
    <x v="50"/>
    <x v="33"/>
    <x v="7"/>
    <x v="43"/>
    <x v="8"/>
    <x v="6"/>
    <x v="10"/>
    <x v="33"/>
    <x v="21"/>
    <x v="100"/>
    <x v="113"/>
    <x v="113"/>
    <x v="88"/>
  </r>
  <r>
    <x v="50"/>
    <x v="50"/>
    <x v="50"/>
    <x v="50"/>
    <x v="50"/>
    <x v="33"/>
    <x v="7"/>
    <x v="43"/>
    <x v="8"/>
    <x v="6"/>
    <x v="10"/>
    <x v="33"/>
    <x v="21"/>
    <x v="100"/>
    <x v="114"/>
    <x v="114"/>
    <x v="88"/>
  </r>
  <r>
    <x v="50"/>
    <x v="50"/>
    <x v="50"/>
    <x v="50"/>
    <x v="50"/>
    <x v="33"/>
    <x v="7"/>
    <x v="43"/>
    <x v="8"/>
    <x v="6"/>
    <x v="10"/>
    <x v="33"/>
    <x v="21"/>
    <x v="100"/>
    <x v="115"/>
    <x v="115"/>
    <x v="88"/>
  </r>
  <r>
    <x v="50"/>
    <x v="50"/>
    <x v="50"/>
    <x v="50"/>
    <x v="50"/>
    <x v="33"/>
    <x v="7"/>
    <x v="43"/>
    <x v="8"/>
    <x v="6"/>
    <x v="10"/>
    <x v="33"/>
    <x v="21"/>
    <x v="100"/>
    <x v="116"/>
    <x v="116"/>
    <x v="88"/>
  </r>
  <r>
    <x v="50"/>
    <x v="50"/>
    <x v="50"/>
    <x v="50"/>
    <x v="50"/>
    <x v="33"/>
    <x v="7"/>
    <x v="43"/>
    <x v="8"/>
    <x v="6"/>
    <x v="10"/>
    <x v="33"/>
    <x v="21"/>
    <x v="100"/>
    <x v="117"/>
    <x v="117"/>
    <x v="88"/>
  </r>
  <r>
    <x v="50"/>
    <x v="50"/>
    <x v="50"/>
    <x v="50"/>
    <x v="50"/>
    <x v="33"/>
    <x v="7"/>
    <x v="43"/>
    <x v="8"/>
    <x v="6"/>
    <x v="10"/>
    <x v="33"/>
    <x v="21"/>
    <x v="100"/>
    <x v="118"/>
    <x v="118"/>
    <x v="88"/>
  </r>
  <r>
    <x v="50"/>
    <x v="50"/>
    <x v="50"/>
    <x v="50"/>
    <x v="50"/>
    <x v="33"/>
    <x v="7"/>
    <x v="43"/>
    <x v="8"/>
    <x v="6"/>
    <x v="10"/>
    <x v="33"/>
    <x v="21"/>
    <x v="100"/>
    <x v="119"/>
    <x v="119"/>
    <x v="88"/>
  </r>
  <r>
    <x v="50"/>
    <x v="50"/>
    <x v="50"/>
    <x v="50"/>
    <x v="50"/>
    <x v="33"/>
    <x v="7"/>
    <x v="43"/>
    <x v="8"/>
    <x v="6"/>
    <x v="10"/>
    <x v="33"/>
    <x v="21"/>
    <x v="100"/>
    <x v="120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1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2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3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4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5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6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7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8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29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0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1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2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3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4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5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6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7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8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39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0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1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2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3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4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5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6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7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8"/>
    <x v="120"/>
    <x v="88"/>
  </r>
  <r>
    <x v="50"/>
    <x v="50"/>
    <x v="50"/>
    <x v="50"/>
    <x v="50"/>
    <x v="33"/>
    <x v="7"/>
    <x v="43"/>
    <x v="8"/>
    <x v="6"/>
    <x v="10"/>
    <x v="33"/>
    <x v="21"/>
    <x v="100"/>
    <x v="149"/>
    <x v="120"/>
    <x v="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</r>
  <r>
    <x v="2"/>
    <x v="2"/>
    <x v="2"/>
    <x v="2"/>
    <x v="2"/>
    <x v="2"/>
    <x v="0"/>
    <x v="2"/>
    <x v="2"/>
    <x v="2"/>
    <x v="2"/>
    <x v="2"/>
    <x v="2"/>
    <x v="2"/>
  </r>
  <r>
    <x v="3"/>
    <x v="3"/>
    <x v="3"/>
    <x v="3"/>
    <x v="3"/>
    <x v="3"/>
    <x v="0"/>
    <x v="3"/>
    <x v="3"/>
    <x v="2"/>
    <x v="3"/>
    <x v="3"/>
    <x v="2"/>
    <x v="3"/>
  </r>
  <r>
    <x v="4"/>
    <x v="4"/>
    <x v="4"/>
    <x v="4"/>
    <x v="4"/>
    <x v="4"/>
    <x v="0"/>
    <x v="4"/>
    <x v="2"/>
    <x v="1"/>
    <x v="4"/>
    <x v="4"/>
    <x v="3"/>
    <x v="4"/>
  </r>
  <r>
    <x v="5"/>
    <x v="5"/>
    <x v="5"/>
    <x v="5"/>
    <x v="5"/>
    <x v="3"/>
    <x v="0"/>
    <x v="5"/>
    <x v="2"/>
    <x v="3"/>
    <x v="5"/>
    <x v="5"/>
    <x v="4"/>
    <x v="5"/>
  </r>
  <r>
    <x v="6"/>
    <x v="6"/>
    <x v="6"/>
    <x v="6"/>
    <x v="6"/>
    <x v="5"/>
    <x v="0"/>
    <x v="6"/>
    <x v="3"/>
    <x v="2"/>
    <x v="3"/>
    <x v="4"/>
    <x v="5"/>
    <x v="6"/>
  </r>
  <r>
    <x v="7"/>
    <x v="7"/>
    <x v="7"/>
    <x v="7"/>
    <x v="7"/>
    <x v="6"/>
    <x v="1"/>
    <x v="7"/>
    <x v="2"/>
    <x v="3"/>
    <x v="5"/>
    <x v="6"/>
    <x v="6"/>
    <x v="7"/>
  </r>
  <r>
    <x v="8"/>
    <x v="8"/>
    <x v="8"/>
    <x v="8"/>
    <x v="8"/>
    <x v="7"/>
    <x v="0"/>
    <x v="8"/>
    <x v="4"/>
    <x v="3"/>
    <x v="1"/>
    <x v="7"/>
    <x v="7"/>
    <x v="8"/>
  </r>
  <r>
    <x v="9"/>
    <x v="9"/>
    <x v="9"/>
    <x v="9"/>
    <x v="9"/>
    <x v="3"/>
    <x v="2"/>
    <x v="9"/>
    <x v="5"/>
    <x v="1"/>
    <x v="3"/>
    <x v="8"/>
    <x v="8"/>
    <x v="9"/>
  </r>
  <r>
    <x v="10"/>
    <x v="10"/>
    <x v="10"/>
    <x v="10"/>
    <x v="10"/>
    <x v="8"/>
    <x v="3"/>
    <x v="10"/>
    <x v="6"/>
    <x v="4"/>
    <x v="4"/>
    <x v="9"/>
    <x v="9"/>
    <x v="10"/>
  </r>
  <r>
    <x v="11"/>
    <x v="11"/>
    <x v="11"/>
    <x v="11"/>
    <x v="11"/>
    <x v="0"/>
    <x v="4"/>
    <x v="11"/>
    <x v="4"/>
    <x v="3"/>
    <x v="1"/>
    <x v="10"/>
    <x v="0"/>
    <x v="11"/>
  </r>
  <r>
    <x v="12"/>
    <x v="12"/>
    <x v="12"/>
    <x v="12"/>
    <x v="12"/>
    <x v="9"/>
    <x v="5"/>
    <x v="12"/>
    <x v="6"/>
    <x v="1"/>
    <x v="5"/>
    <x v="1"/>
    <x v="10"/>
    <x v="12"/>
  </r>
  <r>
    <x v="13"/>
    <x v="13"/>
    <x v="13"/>
    <x v="13"/>
    <x v="13"/>
    <x v="10"/>
    <x v="0"/>
    <x v="13"/>
    <x v="7"/>
    <x v="1"/>
    <x v="2"/>
    <x v="11"/>
    <x v="7"/>
    <x v="13"/>
  </r>
  <r>
    <x v="14"/>
    <x v="14"/>
    <x v="14"/>
    <x v="14"/>
    <x v="14"/>
    <x v="11"/>
    <x v="4"/>
    <x v="14"/>
    <x v="2"/>
    <x v="1"/>
    <x v="4"/>
    <x v="9"/>
    <x v="6"/>
    <x v="14"/>
  </r>
  <r>
    <x v="15"/>
    <x v="15"/>
    <x v="15"/>
    <x v="15"/>
    <x v="15"/>
    <x v="12"/>
    <x v="0"/>
    <x v="15"/>
    <x v="2"/>
    <x v="0"/>
    <x v="6"/>
    <x v="12"/>
    <x v="10"/>
    <x v="15"/>
  </r>
  <r>
    <x v="16"/>
    <x v="16"/>
    <x v="16"/>
    <x v="16"/>
    <x v="16"/>
    <x v="3"/>
    <x v="5"/>
    <x v="16"/>
    <x v="5"/>
    <x v="1"/>
    <x v="3"/>
    <x v="13"/>
    <x v="9"/>
    <x v="16"/>
  </r>
  <r>
    <x v="17"/>
    <x v="17"/>
    <x v="17"/>
    <x v="17"/>
    <x v="17"/>
    <x v="13"/>
    <x v="4"/>
    <x v="17"/>
    <x v="2"/>
    <x v="3"/>
    <x v="5"/>
    <x v="12"/>
    <x v="11"/>
    <x v="17"/>
  </r>
  <r>
    <x v="18"/>
    <x v="18"/>
    <x v="18"/>
    <x v="18"/>
    <x v="18"/>
    <x v="3"/>
    <x v="1"/>
    <x v="18"/>
    <x v="1"/>
    <x v="3"/>
    <x v="4"/>
    <x v="12"/>
    <x v="8"/>
    <x v="18"/>
  </r>
  <r>
    <x v="19"/>
    <x v="19"/>
    <x v="19"/>
    <x v="19"/>
    <x v="19"/>
    <x v="14"/>
    <x v="0"/>
    <x v="19"/>
    <x v="7"/>
    <x v="2"/>
    <x v="6"/>
    <x v="6"/>
    <x v="11"/>
    <x v="19"/>
  </r>
  <r>
    <x v="20"/>
    <x v="20"/>
    <x v="20"/>
    <x v="20"/>
    <x v="20"/>
    <x v="15"/>
    <x v="4"/>
    <x v="20"/>
    <x v="5"/>
    <x v="2"/>
    <x v="7"/>
    <x v="10"/>
    <x v="12"/>
    <x v="20"/>
  </r>
  <r>
    <x v="21"/>
    <x v="21"/>
    <x v="21"/>
    <x v="21"/>
    <x v="21"/>
    <x v="16"/>
    <x v="6"/>
    <x v="21"/>
    <x v="2"/>
    <x v="5"/>
    <x v="8"/>
    <x v="1"/>
    <x v="5"/>
    <x v="21"/>
  </r>
  <r>
    <x v="22"/>
    <x v="22"/>
    <x v="22"/>
    <x v="22"/>
    <x v="22"/>
    <x v="17"/>
    <x v="1"/>
    <x v="22"/>
    <x v="6"/>
    <x v="5"/>
    <x v="6"/>
    <x v="14"/>
    <x v="8"/>
    <x v="22"/>
  </r>
  <r>
    <x v="23"/>
    <x v="23"/>
    <x v="23"/>
    <x v="23"/>
    <x v="23"/>
    <x v="18"/>
    <x v="0"/>
    <x v="23"/>
    <x v="1"/>
    <x v="3"/>
    <x v="4"/>
    <x v="13"/>
    <x v="4"/>
    <x v="23"/>
  </r>
  <r>
    <x v="24"/>
    <x v="24"/>
    <x v="24"/>
    <x v="24"/>
    <x v="24"/>
    <x v="19"/>
    <x v="5"/>
    <x v="24"/>
    <x v="2"/>
    <x v="5"/>
    <x v="8"/>
    <x v="15"/>
    <x v="12"/>
    <x v="24"/>
  </r>
  <r>
    <x v="25"/>
    <x v="25"/>
    <x v="25"/>
    <x v="25"/>
    <x v="25"/>
    <x v="15"/>
    <x v="2"/>
    <x v="9"/>
    <x v="2"/>
    <x v="4"/>
    <x v="1"/>
    <x v="16"/>
    <x v="6"/>
    <x v="25"/>
  </r>
  <r>
    <x v="26"/>
    <x v="26"/>
    <x v="26"/>
    <x v="26"/>
    <x v="26"/>
    <x v="20"/>
    <x v="5"/>
    <x v="25"/>
    <x v="7"/>
    <x v="2"/>
    <x v="6"/>
    <x v="17"/>
    <x v="13"/>
    <x v="26"/>
  </r>
  <r>
    <x v="27"/>
    <x v="27"/>
    <x v="27"/>
    <x v="27"/>
    <x v="27"/>
    <x v="21"/>
    <x v="2"/>
    <x v="9"/>
    <x v="6"/>
    <x v="5"/>
    <x v="6"/>
    <x v="18"/>
    <x v="4"/>
    <x v="27"/>
  </r>
  <r>
    <x v="28"/>
    <x v="28"/>
    <x v="28"/>
    <x v="28"/>
    <x v="28"/>
    <x v="0"/>
    <x v="4"/>
    <x v="26"/>
    <x v="2"/>
    <x v="0"/>
    <x v="6"/>
    <x v="19"/>
    <x v="14"/>
    <x v="28"/>
  </r>
  <r>
    <x v="29"/>
    <x v="29"/>
    <x v="29"/>
    <x v="29"/>
    <x v="29"/>
    <x v="15"/>
    <x v="5"/>
    <x v="27"/>
    <x v="0"/>
    <x v="5"/>
    <x v="7"/>
    <x v="20"/>
    <x v="9"/>
    <x v="29"/>
  </r>
  <r>
    <x v="30"/>
    <x v="30"/>
    <x v="30"/>
    <x v="30"/>
    <x v="30"/>
    <x v="22"/>
    <x v="4"/>
    <x v="28"/>
    <x v="2"/>
    <x v="4"/>
    <x v="1"/>
    <x v="16"/>
    <x v="15"/>
    <x v="30"/>
  </r>
  <r>
    <x v="31"/>
    <x v="31"/>
    <x v="31"/>
    <x v="31"/>
    <x v="31"/>
    <x v="3"/>
    <x v="2"/>
    <x v="9"/>
    <x v="6"/>
    <x v="0"/>
    <x v="3"/>
    <x v="21"/>
    <x v="9"/>
    <x v="31"/>
  </r>
  <r>
    <x v="32"/>
    <x v="32"/>
    <x v="32"/>
    <x v="32"/>
    <x v="32"/>
    <x v="23"/>
    <x v="0"/>
    <x v="29"/>
    <x v="3"/>
    <x v="2"/>
    <x v="3"/>
    <x v="22"/>
    <x v="16"/>
    <x v="32"/>
  </r>
  <r>
    <x v="33"/>
    <x v="33"/>
    <x v="33"/>
    <x v="33"/>
    <x v="33"/>
    <x v="15"/>
    <x v="0"/>
    <x v="30"/>
    <x v="4"/>
    <x v="5"/>
    <x v="5"/>
    <x v="23"/>
    <x v="7"/>
    <x v="33"/>
  </r>
  <r>
    <x v="34"/>
    <x v="34"/>
    <x v="34"/>
    <x v="34"/>
    <x v="34"/>
    <x v="15"/>
    <x v="4"/>
    <x v="31"/>
    <x v="6"/>
    <x v="1"/>
    <x v="5"/>
    <x v="24"/>
    <x v="7"/>
    <x v="34"/>
  </r>
  <r>
    <x v="35"/>
    <x v="35"/>
    <x v="35"/>
    <x v="35"/>
    <x v="35"/>
    <x v="15"/>
    <x v="4"/>
    <x v="32"/>
    <x v="6"/>
    <x v="2"/>
    <x v="8"/>
    <x v="25"/>
    <x v="9"/>
    <x v="35"/>
  </r>
  <r>
    <x v="36"/>
    <x v="36"/>
    <x v="36"/>
    <x v="36"/>
    <x v="36"/>
    <x v="15"/>
    <x v="2"/>
    <x v="9"/>
    <x v="1"/>
    <x v="4"/>
    <x v="9"/>
    <x v="23"/>
    <x v="17"/>
    <x v="36"/>
  </r>
  <r>
    <x v="37"/>
    <x v="37"/>
    <x v="37"/>
    <x v="37"/>
    <x v="37"/>
    <x v="24"/>
    <x v="0"/>
    <x v="33"/>
    <x v="7"/>
    <x v="3"/>
    <x v="8"/>
    <x v="23"/>
    <x v="11"/>
    <x v="37"/>
  </r>
  <r>
    <x v="38"/>
    <x v="38"/>
    <x v="38"/>
    <x v="38"/>
    <x v="38"/>
    <x v="25"/>
    <x v="0"/>
    <x v="34"/>
    <x v="6"/>
    <x v="4"/>
    <x v="4"/>
    <x v="26"/>
    <x v="2"/>
    <x v="38"/>
  </r>
  <r>
    <x v="39"/>
    <x v="39"/>
    <x v="39"/>
    <x v="39"/>
    <x v="39"/>
    <x v="26"/>
    <x v="0"/>
    <x v="35"/>
    <x v="6"/>
    <x v="3"/>
    <x v="2"/>
    <x v="27"/>
    <x v="8"/>
    <x v="39"/>
  </r>
  <r>
    <x v="40"/>
    <x v="40"/>
    <x v="40"/>
    <x v="40"/>
    <x v="40"/>
    <x v="27"/>
    <x v="5"/>
    <x v="36"/>
    <x v="2"/>
    <x v="1"/>
    <x v="4"/>
    <x v="28"/>
    <x v="18"/>
    <x v="40"/>
  </r>
  <r>
    <x v="41"/>
    <x v="41"/>
    <x v="41"/>
    <x v="41"/>
    <x v="41"/>
    <x v="28"/>
    <x v="2"/>
    <x v="9"/>
    <x v="5"/>
    <x v="5"/>
    <x v="0"/>
    <x v="23"/>
    <x v="12"/>
    <x v="41"/>
  </r>
  <r>
    <x v="42"/>
    <x v="42"/>
    <x v="42"/>
    <x v="42"/>
    <x v="42"/>
    <x v="29"/>
    <x v="0"/>
    <x v="37"/>
    <x v="1"/>
    <x v="2"/>
    <x v="5"/>
    <x v="29"/>
    <x v="4"/>
    <x v="42"/>
  </r>
  <r>
    <x v="43"/>
    <x v="43"/>
    <x v="43"/>
    <x v="43"/>
    <x v="43"/>
    <x v="15"/>
    <x v="2"/>
    <x v="9"/>
    <x v="2"/>
    <x v="3"/>
    <x v="5"/>
    <x v="30"/>
    <x v="19"/>
    <x v="43"/>
  </r>
  <r>
    <x v="44"/>
    <x v="44"/>
    <x v="44"/>
    <x v="44"/>
    <x v="44"/>
    <x v="3"/>
    <x v="5"/>
    <x v="38"/>
    <x v="7"/>
    <x v="5"/>
    <x v="3"/>
    <x v="31"/>
    <x v="16"/>
    <x v="44"/>
  </r>
  <r>
    <x v="45"/>
    <x v="45"/>
    <x v="45"/>
    <x v="45"/>
    <x v="45"/>
    <x v="30"/>
    <x v="1"/>
    <x v="39"/>
    <x v="3"/>
    <x v="0"/>
    <x v="7"/>
    <x v="5"/>
    <x v="17"/>
    <x v="45"/>
  </r>
  <r>
    <x v="46"/>
    <x v="46"/>
    <x v="46"/>
    <x v="46"/>
    <x v="46"/>
    <x v="3"/>
    <x v="4"/>
    <x v="40"/>
    <x v="7"/>
    <x v="3"/>
    <x v="8"/>
    <x v="12"/>
    <x v="5"/>
    <x v="46"/>
  </r>
  <r>
    <x v="47"/>
    <x v="47"/>
    <x v="47"/>
    <x v="47"/>
    <x v="47"/>
    <x v="15"/>
    <x v="0"/>
    <x v="41"/>
    <x v="2"/>
    <x v="1"/>
    <x v="4"/>
    <x v="32"/>
    <x v="20"/>
    <x v="47"/>
  </r>
  <r>
    <x v="48"/>
    <x v="48"/>
    <x v="48"/>
    <x v="48"/>
    <x v="48"/>
    <x v="31"/>
    <x v="6"/>
    <x v="42"/>
    <x v="4"/>
    <x v="3"/>
    <x v="1"/>
    <x v="22"/>
    <x v="1"/>
    <x v="48"/>
  </r>
  <r>
    <x v="49"/>
    <x v="49"/>
    <x v="49"/>
    <x v="49"/>
    <x v="49"/>
    <x v="32"/>
    <x v="2"/>
    <x v="9"/>
    <x v="7"/>
    <x v="3"/>
    <x v="8"/>
    <x v="23"/>
    <x v="5"/>
    <x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1"/>
    <x v="5"/>
    <x v="5"/>
  </r>
  <r>
    <x v="6"/>
    <x v="5"/>
    <x v="6"/>
    <x v="6"/>
  </r>
  <r>
    <x v="7"/>
    <x v="6"/>
    <x v="7"/>
    <x v="7"/>
  </r>
  <r>
    <x v="8"/>
    <x v="7"/>
    <x v="3"/>
    <x v="8"/>
  </r>
  <r>
    <x v="9"/>
    <x v="5"/>
    <x v="8"/>
    <x v="9"/>
  </r>
  <r>
    <x v="10"/>
    <x v="8"/>
    <x v="9"/>
    <x v="10"/>
  </r>
  <r>
    <x v="11"/>
    <x v="7"/>
    <x v="10"/>
    <x v="11"/>
  </r>
  <r>
    <x v="12"/>
    <x v="9"/>
    <x v="11"/>
    <x v="12"/>
  </r>
  <r>
    <x v="13"/>
    <x v="3"/>
    <x v="12"/>
    <x v="13"/>
  </r>
  <r>
    <x v="14"/>
    <x v="10"/>
    <x v="13"/>
    <x v="14"/>
  </r>
  <r>
    <x v="15"/>
    <x v="11"/>
    <x v="14"/>
    <x v="15"/>
  </r>
  <r>
    <x v="16"/>
    <x v="12"/>
    <x v="15"/>
    <x v="16"/>
  </r>
  <r>
    <x v="17"/>
    <x v="13"/>
    <x v="16"/>
    <x v="17"/>
  </r>
  <r>
    <x v="18"/>
    <x v="14"/>
    <x v="17"/>
    <x v="18"/>
  </r>
  <r>
    <x v="19"/>
    <x v="15"/>
    <x v="11"/>
    <x v="19"/>
  </r>
  <r>
    <x v="20"/>
    <x v="16"/>
    <x v="18"/>
    <x v="20"/>
  </r>
  <r>
    <x v="21"/>
    <x v="2"/>
    <x v="19"/>
    <x v="21"/>
  </r>
  <r>
    <x v="22"/>
    <x v="17"/>
    <x v="20"/>
    <x v="22"/>
  </r>
  <r>
    <x v="23"/>
    <x v="18"/>
    <x v="21"/>
    <x v="23"/>
  </r>
  <r>
    <x v="24"/>
    <x v="10"/>
    <x v="13"/>
    <x v="24"/>
  </r>
  <r>
    <x v="25"/>
    <x v="19"/>
    <x v="8"/>
    <x v="25"/>
  </r>
  <r>
    <x v="26"/>
    <x v="19"/>
    <x v="2"/>
    <x v="26"/>
  </r>
  <r>
    <x v="27"/>
    <x v="20"/>
    <x v="22"/>
    <x v="27"/>
  </r>
  <r>
    <x v="28"/>
    <x v="21"/>
    <x v="15"/>
    <x v="28"/>
  </r>
  <r>
    <x v="29"/>
    <x v="22"/>
    <x v="23"/>
    <x v="29"/>
  </r>
  <r>
    <x v="30"/>
    <x v="16"/>
    <x v="24"/>
    <x v="30"/>
  </r>
  <r>
    <x v="31"/>
    <x v="1"/>
    <x v="25"/>
    <x v="31"/>
  </r>
  <r>
    <x v="32"/>
    <x v="21"/>
    <x v="26"/>
    <x v="32"/>
  </r>
  <r>
    <x v="33"/>
    <x v="23"/>
    <x v="27"/>
    <x v="33"/>
  </r>
  <r>
    <x v="34"/>
    <x v="24"/>
    <x v="18"/>
    <x v="34"/>
  </r>
  <r>
    <x v="35"/>
    <x v="2"/>
    <x v="28"/>
    <x v="35"/>
  </r>
  <r>
    <x v="36"/>
    <x v="25"/>
    <x v="17"/>
    <x v="36"/>
  </r>
  <r>
    <x v="37"/>
    <x v="26"/>
    <x v="29"/>
    <x v="37"/>
  </r>
  <r>
    <x v="38"/>
    <x v="25"/>
    <x v="30"/>
    <x v="38"/>
  </r>
  <r>
    <x v="39"/>
    <x v="27"/>
    <x v="13"/>
    <x v="39"/>
  </r>
  <r>
    <x v="40"/>
    <x v="20"/>
    <x v="27"/>
    <x v="40"/>
  </r>
  <r>
    <x v="41"/>
    <x v="28"/>
    <x v="3"/>
    <x v="41"/>
  </r>
  <r>
    <x v="42"/>
    <x v="29"/>
    <x v="1"/>
    <x v="42"/>
  </r>
  <r>
    <x v="43"/>
    <x v="30"/>
    <x v="31"/>
    <x v="43"/>
  </r>
  <r>
    <x v="44"/>
    <x v="31"/>
    <x v="3"/>
    <x v="44"/>
  </r>
  <r>
    <x v="45"/>
    <x v="9"/>
    <x v="32"/>
    <x v="45"/>
  </r>
  <r>
    <x v="46"/>
    <x v="32"/>
    <x v="33"/>
    <x v="46"/>
  </r>
  <r>
    <x v="47"/>
    <x v="11"/>
    <x v="34"/>
    <x v="47"/>
  </r>
  <r>
    <x v="48"/>
    <x v="16"/>
    <x v="28"/>
    <x v="48"/>
  </r>
  <r>
    <x v="49"/>
    <x v="0"/>
    <x v="30"/>
    <x v="49"/>
  </r>
  <r>
    <x v="50"/>
    <x v="17"/>
    <x v="35"/>
    <x v="50"/>
  </r>
  <r>
    <x v="51"/>
    <x v="1"/>
    <x v="36"/>
    <x v="51"/>
  </r>
  <r>
    <x v="52"/>
    <x v="24"/>
    <x v="13"/>
    <x v="52"/>
  </r>
  <r>
    <x v="53"/>
    <x v="31"/>
    <x v="17"/>
    <x v="53"/>
  </r>
  <r>
    <x v="54"/>
    <x v="25"/>
    <x v="37"/>
    <x v="54"/>
  </r>
  <r>
    <x v="55"/>
    <x v="33"/>
    <x v="38"/>
    <x v="55"/>
  </r>
  <r>
    <x v="56"/>
    <x v="34"/>
    <x v="34"/>
    <x v="30"/>
  </r>
  <r>
    <x v="57"/>
    <x v="11"/>
    <x v="39"/>
    <x v="42"/>
  </r>
  <r>
    <x v="58"/>
    <x v="0"/>
    <x v="12"/>
    <x v="56"/>
  </r>
  <r>
    <x v="59"/>
    <x v="30"/>
    <x v="40"/>
    <x v="57"/>
  </r>
  <r>
    <x v="60"/>
    <x v="6"/>
    <x v="41"/>
    <x v="58"/>
  </r>
  <r>
    <x v="61"/>
    <x v="2"/>
    <x v="42"/>
    <x v="39"/>
  </r>
  <r>
    <x v="62"/>
    <x v="29"/>
    <x v="1"/>
    <x v="59"/>
  </r>
  <r>
    <x v="63"/>
    <x v="24"/>
    <x v="43"/>
    <x v="60"/>
  </r>
  <r>
    <x v="64"/>
    <x v="19"/>
    <x v="44"/>
    <x v="61"/>
  </r>
  <r>
    <x v="65"/>
    <x v="17"/>
    <x v="43"/>
    <x v="62"/>
  </r>
  <r>
    <x v="66"/>
    <x v="17"/>
    <x v="37"/>
    <x v="63"/>
  </r>
  <r>
    <x v="67"/>
    <x v="2"/>
    <x v="45"/>
    <x v="64"/>
  </r>
  <r>
    <x v="68"/>
    <x v="35"/>
    <x v="45"/>
    <x v="65"/>
  </r>
  <r>
    <x v="69"/>
    <x v="4"/>
    <x v="43"/>
    <x v="66"/>
  </r>
  <r>
    <x v="70"/>
    <x v="20"/>
    <x v="40"/>
    <x v="67"/>
  </r>
  <r>
    <x v="71"/>
    <x v="4"/>
    <x v="46"/>
    <x v="68"/>
  </r>
  <r>
    <x v="72"/>
    <x v="27"/>
    <x v="47"/>
    <x v="69"/>
  </r>
  <r>
    <x v="73"/>
    <x v="36"/>
    <x v="48"/>
    <x v="70"/>
  </r>
  <r>
    <x v="74"/>
    <x v="25"/>
    <x v="43"/>
    <x v="71"/>
  </r>
  <r>
    <x v="75"/>
    <x v="4"/>
    <x v="44"/>
    <x v="72"/>
  </r>
  <r>
    <x v="76"/>
    <x v="14"/>
    <x v="49"/>
    <x v="73"/>
  </r>
  <r>
    <x v="77"/>
    <x v="25"/>
    <x v="33"/>
    <x v="74"/>
  </r>
  <r>
    <x v="78"/>
    <x v="37"/>
    <x v="21"/>
    <x v="75"/>
  </r>
  <r>
    <x v="79"/>
    <x v="4"/>
    <x v="50"/>
    <x v="68"/>
  </r>
  <r>
    <x v="80"/>
    <x v="24"/>
    <x v="0"/>
    <x v="76"/>
  </r>
  <r>
    <x v="81"/>
    <x v="8"/>
    <x v="20"/>
    <x v="71"/>
  </r>
  <r>
    <x v="82"/>
    <x v="38"/>
    <x v="51"/>
    <x v="51"/>
  </r>
  <r>
    <x v="83"/>
    <x v="39"/>
    <x v="10"/>
    <x v="28"/>
  </r>
  <r>
    <x v="84"/>
    <x v="39"/>
    <x v="52"/>
    <x v="73"/>
  </r>
  <r>
    <x v="85"/>
    <x v="40"/>
    <x v="20"/>
    <x v="77"/>
  </r>
  <r>
    <x v="86"/>
    <x v="41"/>
    <x v="53"/>
    <x v="78"/>
  </r>
  <r>
    <x v="87"/>
    <x v="36"/>
    <x v="54"/>
    <x v="78"/>
  </r>
  <r>
    <x v="88"/>
    <x v="39"/>
    <x v="47"/>
    <x v="79"/>
  </r>
  <r>
    <x v="89"/>
    <x v="19"/>
    <x v="55"/>
    <x v="44"/>
  </r>
  <r>
    <x v="90"/>
    <x v="31"/>
    <x v="46"/>
    <x v="80"/>
  </r>
  <r>
    <x v="91"/>
    <x v="9"/>
    <x v="24"/>
    <x v="72"/>
  </r>
  <r>
    <x v="92"/>
    <x v="27"/>
    <x v="15"/>
    <x v="45"/>
  </r>
  <r>
    <x v="93"/>
    <x v="21"/>
    <x v="48"/>
    <x v="50"/>
  </r>
  <r>
    <x v="94"/>
    <x v="12"/>
    <x v="1"/>
    <x v="81"/>
  </r>
  <r>
    <x v="95"/>
    <x v="25"/>
    <x v="56"/>
    <x v="82"/>
  </r>
  <r>
    <x v="96"/>
    <x v="21"/>
    <x v="57"/>
    <x v="83"/>
  </r>
  <r>
    <x v="97"/>
    <x v="37"/>
    <x v="50"/>
    <x v="84"/>
  </r>
  <r>
    <x v="98"/>
    <x v="17"/>
    <x v="58"/>
    <x v="60"/>
  </r>
  <r>
    <x v="99"/>
    <x v="39"/>
    <x v="59"/>
    <x v="50"/>
  </r>
  <r>
    <x v="100"/>
    <x v="28"/>
    <x v="54"/>
    <x v="85"/>
  </r>
  <r>
    <x v="101"/>
    <x v="33"/>
    <x v="60"/>
    <x v="86"/>
  </r>
  <r>
    <x v="102"/>
    <x v="42"/>
    <x v="46"/>
    <x v="46"/>
  </r>
  <r>
    <x v="103"/>
    <x v="39"/>
    <x v="47"/>
    <x v="87"/>
  </r>
  <r>
    <x v="104"/>
    <x v="25"/>
    <x v="44"/>
    <x v="88"/>
  </r>
  <r>
    <x v="105"/>
    <x v="11"/>
    <x v="50"/>
    <x v="89"/>
  </r>
  <r>
    <x v="106"/>
    <x v="42"/>
    <x v="49"/>
    <x v="64"/>
  </r>
  <r>
    <x v="107"/>
    <x v="32"/>
    <x v="26"/>
    <x v="90"/>
  </r>
  <r>
    <x v="108"/>
    <x v="43"/>
    <x v="61"/>
    <x v="91"/>
  </r>
  <r>
    <x v="109"/>
    <x v="26"/>
    <x v="46"/>
    <x v="92"/>
  </r>
  <r>
    <x v="110"/>
    <x v="40"/>
    <x v="62"/>
    <x v="60"/>
  </r>
  <r>
    <x v="111"/>
    <x v="3"/>
    <x v="12"/>
    <x v="93"/>
  </r>
  <r>
    <x v="112"/>
    <x v="38"/>
    <x v="21"/>
    <x v="94"/>
  </r>
  <r>
    <x v="113"/>
    <x v="2"/>
    <x v="39"/>
    <x v="8"/>
  </r>
  <r>
    <x v="114"/>
    <x v="41"/>
    <x v="43"/>
    <x v="95"/>
  </r>
  <r>
    <x v="115"/>
    <x v="17"/>
    <x v="32"/>
    <x v="96"/>
  </r>
  <r>
    <x v="116"/>
    <x v="35"/>
    <x v="63"/>
    <x v="97"/>
  </r>
  <r>
    <x v="117"/>
    <x v="27"/>
    <x v="64"/>
    <x v="98"/>
  </r>
  <r>
    <x v="118"/>
    <x v="40"/>
    <x v="5"/>
    <x v="99"/>
  </r>
  <r>
    <x v="119"/>
    <x v="22"/>
    <x v="21"/>
    <x v="64"/>
  </r>
  <r>
    <x v="120"/>
    <x v="33"/>
    <x v="65"/>
    <x v="100"/>
  </r>
  <r>
    <x v="121"/>
    <x v="36"/>
    <x v="66"/>
    <x v="101"/>
  </r>
  <r>
    <x v="122"/>
    <x v="6"/>
    <x v="67"/>
    <x v="102"/>
  </r>
  <r>
    <x v="123"/>
    <x v="2"/>
    <x v="3"/>
    <x v="103"/>
  </r>
  <r>
    <x v="124"/>
    <x v="30"/>
    <x v="68"/>
    <x v="104"/>
  </r>
  <r>
    <x v="125"/>
    <x v="39"/>
    <x v="69"/>
    <x v="105"/>
  </r>
  <r>
    <x v="126"/>
    <x v="44"/>
    <x v="0"/>
    <x v="106"/>
  </r>
  <r>
    <x v="127"/>
    <x v="9"/>
    <x v="11"/>
    <x v="97"/>
  </r>
  <r>
    <x v="128"/>
    <x v="18"/>
    <x v="63"/>
    <x v="41"/>
  </r>
  <r>
    <x v="129"/>
    <x v="29"/>
    <x v="64"/>
    <x v="37"/>
  </r>
  <r>
    <x v="130"/>
    <x v="31"/>
    <x v="25"/>
    <x v="107"/>
  </r>
  <r>
    <x v="131"/>
    <x v="4"/>
    <x v="10"/>
    <x v="108"/>
  </r>
  <r>
    <x v="132"/>
    <x v="39"/>
    <x v="70"/>
    <x v="109"/>
  </r>
  <r>
    <x v="133"/>
    <x v="21"/>
    <x v="71"/>
    <x v="14"/>
  </r>
  <r>
    <x v="134"/>
    <x v="0"/>
    <x v="23"/>
    <x v="110"/>
  </r>
  <r>
    <x v="135"/>
    <x v="15"/>
    <x v="57"/>
    <x v="111"/>
  </r>
  <r>
    <x v="136"/>
    <x v="11"/>
    <x v="72"/>
    <x v="26"/>
  </r>
  <r>
    <x v="137"/>
    <x v="35"/>
    <x v="73"/>
    <x v="112"/>
  </r>
  <r>
    <x v="138"/>
    <x v="24"/>
    <x v="25"/>
    <x v="7"/>
  </r>
  <r>
    <x v="139"/>
    <x v="10"/>
    <x v="53"/>
    <x v="113"/>
  </r>
  <r>
    <x v="140"/>
    <x v="5"/>
    <x v="55"/>
    <x v="114"/>
  </r>
  <r>
    <x v="141"/>
    <x v="5"/>
    <x v="74"/>
    <x v="115"/>
  </r>
  <r>
    <x v="142"/>
    <x v="27"/>
    <x v="17"/>
    <x v="116"/>
  </r>
  <r>
    <x v="143"/>
    <x v="10"/>
    <x v="23"/>
    <x v="4"/>
  </r>
  <r>
    <x v="144"/>
    <x v="0"/>
    <x v="75"/>
    <x v="117"/>
  </r>
  <r>
    <x v="145"/>
    <x v="0"/>
    <x v="74"/>
    <x v="118"/>
  </r>
  <r>
    <x v="146"/>
    <x v="45"/>
    <x v="76"/>
    <x v="5"/>
  </r>
  <r>
    <x v="147"/>
    <x v="34"/>
    <x v="77"/>
    <x v="76"/>
  </r>
  <r>
    <x v="148"/>
    <x v="29"/>
    <x v="0"/>
    <x v="110"/>
  </r>
  <r>
    <x v="149"/>
    <x v="4"/>
    <x v="28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55" firstHeaderRow="0" firstDataRow="1" firstDataCol="1"/>
  <pivotFields count="17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24"/>
        <item x="8"/>
        <item x="18"/>
        <item x="20"/>
        <item x="33"/>
        <item x="9"/>
        <item x="37"/>
        <item x="6"/>
        <item x="0"/>
        <item x="15"/>
        <item x="21"/>
        <item x="7"/>
        <item x="10"/>
        <item x="5"/>
        <item x="19"/>
        <item x="1"/>
        <item x="32"/>
        <item x="3"/>
        <item x="22"/>
        <item x="27"/>
        <item x="35"/>
        <item x="34"/>
        <item x="41"/>
        <item x="36"/>
        <item x="31"/>
        <item x="4"/>
        <item x="25"/>
        <item x="11"/>
        <item x="17"/>
        <item x="48"/>
        <item x="23"/>
        <item x="47"/>
        <item x="44"/>
        <item x="2"/>
        <item x="12"/>
        <item x="40"/>
        <item x="14"/>
        <item x="46"/>
        <item x="16"/>
        <item x="28"/>
        <item x="42"/>
        <item x="26"/>
        <item x="49"/>
        <item x="30"/>
        <item x="38"/>
        <item x="45"/>
        <item x="29"/>
        <item x="43"/>
        <item x="13"/>
        <item x="39"/>
        <item x="50"/>
        <item t="default"/>
      </items>
    </pivotField>
    <pivotField compact="0" showAll="0">
      <items count="52">
        <item x="26"/>
        <item x="27"/>
        <item x="14"/>
        <item x="41"/>
        <item x="10"/>
        <item x="36"/>
        <item x="32"/>
        <item x="9"/>
        <item x="37"/>
        <item x="19"/>
        <item x="49"/>
        <item x="42"/>
        <item x="21"/>
        <item x="38"/>
        <item x="15"/>
        <item x="2"/>
        <item x="29"/>
        <item x="33"/>
        <item x="4"/>
        <item x="39"/>
        <item x="18"/>
        <item x="34"/>
        <item x="24"/>
        <item x="30"/>
        <item x="35"/>
        <item x="43"/>
        <item x="6"/>
        <item x="13"/>
        <item x="16"/>
        <item x="28"/>
        <item x="46"/>
        <item x="12"/>
        <item x="22"/>
        <item x="48"/>
        <item x="3"/>
        <item x="7"/>
        <item x="47"/>
        <item x="8"/>
        <item x="40"/>
        <item x="1"/>
        <item x="5"/>
        <item x="17"/>
        <item x="31"/>
        <item x="11"/>
        <item x="45"/>
        <item x="20"/>
        <item x="23"/>
        <item x="0"/>
        <item x="25"/>
        <item x="44"/>
        <item x="50"/>
        <item t="default"/>
      </items>
    </pivotField>
    <pivotField compact="0" showAll="0">
      <items count="52">
        <item x="6"/>
        <item x="27"/>
        <item x="38"/>
        <item x="16"/>
        <item x="42"/>
        <item x="2"/>
        <item x="32"/>
        <item x="29"/>
        <item x="36"/>
        <item x="1"/>
        <item x="46"/>
        <item x="0"/>
        <item x="9"/>
        <item x="15"/>
        <item x="8"/>
        <item x="11"/>
        <item x="28"/>
        <item x="40"/>
        <item x="41"/>
        <item x="39"/>
        <item x="14"/>
        <item x="25"/>
        <item x="44"/>
        <item x="18"/>
        <item x="5"/>
        <item x="30"/>
        <item x="10"/>
        <item x="49"/>
        <item x="22"/>
        <item x="33"/>
        <item x="23"/>
        <item x="12"/>
        <item x="19"/>
        <item x="7"/>
        <item x="17"/>
        <item x="45"/>
        <item x="34"/>
        <item x="35"/>
        <item x="43"/>
        <item x="47"/>
        <item x="3"/>
        <item x="21"/>
        <item x="48"/>
        <item x="13"/>
        <item x="37"/>
        <item x="26"/>
        <item x="4"/>
        <item x="24"/>
        <item x="20"/>
        <item x="31"/>
        <item x="50"/>
        <item t="default"/>
      </items>
    </pivotField>
    <pivotField axis="axisRow" compact="0" showAll="0">
      <items count="52">
        <item x="39"/>
        <item x="13"/>
        <item x="38"/>
        <item x="21"/>
        <item x="41"/>
        <item x="25"/>
        <item x="20"/>
        <item x="19"/>
        <item x="43"/>
        <item x="1"/>
        <item x="3"/>
        <item x="35"/>
        <item x="44"/>
        <item x="32"/>
        <item x="15"/>
        <item x="36"/>
        <item x="9"/>
        <item x="8"/>
        <item x="10"/>
        <item x="23"/>
        <item x="18"/>
        <item x="11"/>
        <item x="47"/>
        <item x="16"/>
        <item x="24"/>
        <item x="22"/>
        <item x="30"/>
        <item x="27"/>
        <item x="7"/>
        <item x="46"/>
        <item x="17"/>
        <item x="14"/>
        <item x="48"/>
        <item x="40"/>
        <item x="0"/>
        <item x="31"/>
        <item x="42"/>
        <item x="28"/>
        <item x="29"/>
        <item x="5"/>
        <item x="45"/>
        <item x="34"/>
        <item x="33"/>
        <item x="37"/>
        <item x="4"/>
        <item x="12"/>
        <item x="6"/>
        <item x="26"/>
        <item x="49"/>
        <item x="2"/>
        <item x="50"/>
        <item t="default"/>
      </items>
    </pivotField>
    <pivotField compact="0" showAll="0">
      <items count="35">
        <item x="26"/>
        <item x="18"/>
        <item x="24"/>
        <item x="22"/>
        <item x="4"/>
        <item x="9"/>
        <item x="3"/>
        <item x="21"/>
        <item x="10"/>
        <item x="23"/>
        <item x="12"/>
        <item x="16"/>
        <item x="6"/>
        <item x="0"/>
        <item x="7"/>
        <item x="2"/>
        <item x="27"/>
        <item x="14"/>
        <item x="8"/>
        <item x="1"/>
        <item x="25"/>
        <item x="11"/>
        <item x="30"/>
        <item x="32"/>
        <item x="5"/>
        <item x="19"/>
        <item x="13"/>
        <item x="20"/>
        <item x="29"/>
        <item x="31"/>
        <item x="28"/>
        <item x="17"/>
        <item x="15"/>
        <item x="33"/>
        <item t="default"/>
      </items>
    </pivotField>
    <pivotField compact="0" showAll="0">
      <items count="9">
        <item x="2"/>
        <item x="4"/>
        <item x="0"/>
        <item x="5"/>
        <item x="1"/>
        <item x="6"/>
        <item x="3"/>
        <item x="7"/>
        <item t="default"/>
      </items>
    </pivotField>
    <pivotField compact="0" showAll="0">
      <items count="45">
        <item x="9"/>
        <item x="17"/>
        <item x="41"/>
        <item x="28"/>
        <item x="14"/>
        <item x="16"/>
        <item x="0"/>
        <item x="5"/>
        <item x="26"/>
        <item x="31"/>
        <item x="32"/>
        <item x="23"/>
        <item x="29"/>
        <item x="35"/>
        <item x="40"/>
        <item x="34"/>
        <item x="4"/>
        <item x="15"/>
        <item x="2"/>
        <item x="20"/>
        <item x="36"/>
        <item x="30"/>
        <item x="24"/>
        <item x="6"/>
        <item x="38"/>
        <item x="21"/>
        <item x="18"/>
        <item x="42"/>
        <item x="11"/>
        <item x="7"/>
        <item x="8"/>
        <item x="19"/>
        <item x="10"/>
        <item x="13"/>
        <item x="25"/>
        <item x="3"/>
        <item x="39"/>
        <item x="27"/>
        <item x="37"/>
        <item x="1"/>
        <item x="12"/>
        <item x="33"/>
        <item x="22"/>
        <item x="43"/>
        <item t="default"/>
      </items>
    </pivotField>
    <pivotField compact="0" showAll="0">
      <items count="10">
        <item x="4"/>
        <item x="1"/>
        <item x="2"/>
        <item x="6"/>
        <item x="7"/>
        <item x="3"/>
        <item x="0"/>
        <item x="5"/>
        <item x="8"/>
        <item t="default"/>
      </items>
    </pivotField>
    <pivotField compact="0" showAll="0">
      <items count="8">
        <item x="4"/>
        <item x="1"/>
        <item x="3"/>
        <item x="2"/>
        <item x="5"/>
        <item x="0"/>
        <item x="6"/>
        <item t="default"/>
      </items>
    </pivotField>
    <pivotField compact="0" showAll="0">
      <items count="12">
        <item x="9"/>
        <item x="1"/>
        <item x="4"/>
        <item x="5"/>
        <item x="2"/>
        <item x="8"/>
        <item x="6"/>
        <item x="3"/>
        <item x="7"/>
        <item x="0"/>
        <item x="10"/>
        <item t="default"/>
      </items>
    </pivotField>
    <pivotField compact="0" showAll="0">
      <items count="35">
        <item x="20"/>
        <item x="26"/>
        <item x="8"/>
        <item x="15"/>
        <item x="31"/>
        <item x="3"/>
        <item x="5"/>
        <item x="32"/>
        <item x="9"/>
        <item x="17"/>
        <item x="19"/>
        <item x="14"/>
        <item x="7"/>
        <item x="28"/>
        <item x="1"/>
        <item x="0"/>
        <item x="23"/>
        <item x="16"/>
        <item x="6"/>
        <item x="10"/>
        <item x="2"/>
        <item x="4"/>
        <item x="22"/>
        <item x="21"/>
        <item x="27"/>
        <item x="30"/>
        <item x="29"/>
        <item x="11"/>
        <item x="13"/>
        <item x="12"/>
        <item x="18"/>
        <item x="25"/>
        <item x="24"/>
        <item x="33"/>
        <item t="default"/>
      </items>
    </pivotField>
    <pivotField compact="0" showAll="0">
      <items count="23">
        <item x="15"/>
        <item x="20"/>
        <item x="2"/>
        <item x="6"/>
        <item x="0"/>
        <item x="16"/>
        <item x="11"/>
        <item x="1"/>
        <item x="14"/>
        <item x="18"/>
        <item x="4"/>
        <item x="5"/>
        <item x="17"/>
        <item x="7"/>
        <item x="12"/>
        <item x="3"/>
        <item x="8"/>
        <item x="10"/>
        <item x="13"/>
        <item x="19"/>
        <item x="9"/>
        <item x="21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compact="0" showAll="0">
      <items count="90">
        <item x="6"/>
        <item x="12"/>
        <item x="79"/>
        <item x="21"/>
        <item x="66"/>
        <item x="33"/>
        <item x="71"/>
        <item x="36"/>
        <item x="64"/>
        <item x="34"/>
        <item x="58"/>
        <item x="45"/>
        <item x="82"/>
        <item x="43"/>
        <item x="56"/>
        <item x="27"/>
        <item x="18"/>
        <item x="2"/>
        <item x="28"/>
        <item x="62"/>
        <item x="87"/>
        <item x="40"/>
        <item x="16"/>
        <item x="60"/>
        <item x="1"/>
        <item x="0"/>
        <item x="23"/>
        <item x="49"/>
        <item x="48"/>
        <item x="80"/>
        <item x="75"/>
        <item x="26"/>
        <item x="29"/>
        <item x="32"/>
        <item x="83"/>
        <item x="22"/>
        <item x="25"/>
        <item x="9"/>
        <item x="39"/>
        <item x="8"/>
        <item x="57"/>
        <item x="14"/>
        <item x="85"/>
        <item x="68"/>
        <item x="63"/>
        <item x="70"/>
        <item x="53"/>
        <item x="10"/>
        <item x="81"/>
        <item x="31"/>
        <item x="5"/>
        <item x="61"/>
        <item x="69"/>
        <item x="86"/>
        <item x="20"/>
        <item x="51"/>
        <item x="77"/>
        <item x="76"/>
        <item x="15"/>
        <item x="46"/>
        <item x="35"/>
        <item x="13"/>
        <item x="7"/>
        <item x="30"/>
        <item x="65"/>
        <item x="72"/>
        <item x="37"/>
        <item x="17"/>
        <item x="19"/>
        <item x="54"/>
        <item x="38"/>
        <item x="44"/>
        <item x="59"/>
        <item x="74"/>
        <item x="73"/>
        <item x="67"/>
        <item x="3"/>
        <item x="84"/>
        <item x="55"/>
        <item x="11"/>
        <item x="41"/>
        <item x="47"/>
        <item x="4"/>
        <item x="78"/>
        <item x="24"/>
        <item x="42"/>
        <item x="50"/>
        <item x="52"/>
        <item x="88"/>
        <item t="default"/>
      </items>
    </pivotField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ost_ID" fld="13" baseField="0" baseItem="0"/>
    <dataField name="Sum of User_ID" fld="0" baseField="0" baseItem="0"/>
    <dataField name="Sum of Like_ID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3:H54" firstHeaderRow="0" firstDataRow="1" firstDataCol="1"/>
  <pivotFields count="14"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/>
    <pivotField compact="0" showAll="0"/>
    <pivotField compact="0" numFmtId="181" showAll="0"/>
    <pivotField compact="0" showAll="0"/>
    <pivotField compact="0" showAll="0"/>
    <pivotField compact="0" showAll="0"/>
    <pivotField compact="0" numFmtId="2" showAll="0"/>
    <pivotField dataField="1" compact="0" showAll="0">
      <items count="9">
        <item x="4"/>
        <item x="1"/>
        <item x="2"/>
        <item x="6"/>
        <item x="7"/>
        <item x="3"/>
        <item x="0"/>
        <item x="5"/>
        <item t="default"/>
      </items>
    </pivotField>
    <pivotField dataField="1" compact="0" showAll="0">
      <items count="7">
        <item x="4"/>
        <item x="1"/>
        <item x="3"/>
        <item x="2"/>
        <item x="5"/>
        <item x="0"/>
        <item t="default"/>
      </items>
    </pivotField>
    <pivotField compact="0" showAll="0"/>
    <pivotField compact="0" showAll="0"/>
    <pivotField compact="0" showAll="0"/>
    <pivotField axis="axisRow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 count="1">
    <field x="1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ents_given" fld="9" baseField="0" baseItem="0"/>
    <dataField name="Sum of Likes_given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3:L82" firstHeaderRow="1" firstDataRow="1" firstDataCol="1"/>
  <pivotFields count="4">
    <pivotField dataField="1"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showAll="0">
      <items count="47">
        <item x="17"/>
        <item x="44"/>
        <item x="32"/>
        <item x="21"/>
        <item x="18"/>
        <item x="8"/>
        <item x="11"/>
        <item x="41"/>
        <item x="2"/>
        <item x="36"/>
        <item x="16"/>
        <item x="9"/>
        <item x="28"/>
        <item x="38"/>
        <item x="4"/>
        <item x="37"/>
        <item x="45"/>
        <item x="1"/>
        <item x="39"/>
        <item x="7"/>
        <item x="40"/>
        <item x="13"/>
        <item x="14"/>
        <item x="15"/>
        <item x="31"/>
        <item x="30"/>
        <item x="34"/>
        <item x="0"/>
        <item x="42"/>
        <item x="35"/>
        <item x="24"/>
        <item x="6"/>
        <item x="33"/>
        <item x="23"/>
        <item x="19"/>
        <item x="3"/>
        <item x="20"/>
        <item x="22"/>
        <item x="25"/>
        <item x="43"/>
        <item x="12"/>
        <item x="29"/>
        <item x="27"/>
        <item x="5"/>
        <item x="26"/>
        <item x="10"/>
        <item t="default"/>
      </items>
    </pivotField>
    <pivotField axis="axisRow" compact="0" sortType="descending" showAll="0">
      <items count="79">
        <item x="12"/>
        <item x="69"/>
        <item x="63"/>
        <item x="66"/>
        <item x="1"/>
        <item x="64"/>
        <item x="47"/>
        <item x="77"/>
        <item x="29"/>
        <item x="48"/>
        <item x="18"/>
        <item x="33"/>
        <item x="24"/>
        <item x="45"/>
        <item x="23"/>
        <item x="30"/>
        <item x="52"/>
        <item x="38"/>
        <item x="36"/>
        <item x="65"/>
        <item x="76"/>
        <item x="4"/>
        <item x="31"/>
        <item x="56"/>
        <item x="19"/>
        <item x="27"/>
        <item x="0"/>
        <item x="16"/>
        <item x="61"/>
        <item x="32"/>
        <item x="58"/>
        <item x="15"/>
        <item x="55"/>
        <item x="26"/>
        <item x="46"/>
        <item x="71"/>
        <item x="51"/>
        <item x="37"/>
        <item x="10"/>
        <item x="17"/>
        <item x="62"/>
        <item x="70"/>
        <item x="35"/>
        <item x="41"/>
        <item x="40"/>
        <item x="75"/>
        <item x="22"/>
        <item x="3"/>
        <item x="54"/>
        <item x="6"/>
        <item x="67"/>
        <item x="57"/>
        <item x="60"/>
        <item x="34"/>
        <item x="59"/>
        <item x="72"/>
        <item x="13"/>
        <item x="11"/>
        <item x="20"/>
        <item x="39"/>
        <item x="2"/>
        <item x="49"/>
        <item x="28"/>
        <item x="25"/>
        <item x="68"/>
        <item x="73"/>
        <item x="74"/>
        <item x="5"/>
        <item x="42"/>
        <item x="7"/>
        <item x="43"/>
        <item x="21"/>
        <item x="50"/>
        <item x="44"/>
        <item x="9"/>
        <item x="8"/>
        <item x="53"/>
        <item x="1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2" showAll="0">
      <items count="120">
        <item x="69"/>
        <item x="1"/>
        <item x="40"/>
        <item x="76"/>
        <item x="112"/>
        <item x="43"/>
        <item x="5"/>
        <item x="71"/>
        <item x="56"/>
        <item x="46"/>
        <item x="60"/>
        <item x="4"/>
        <item x="108"/>
        <item x="84"/>
        <item x="39"/>
        <item x="52"/>
        <item x="48"/>
        <item x="92"/>
        <item x="106"/>
        <item x="22"/>
        <item x="2"/>
        <item x="55"/>
        <item x="58"/>
        <item x="26"/>
        <item x="88"/>
        <item x="97"/>
        <item x="44"/>
        <item x="12"/>
        <item x="70"/>
        <item x="118"/>
        <item x="34"/>
        <item x="30"/>
        <item x="20"/>
        <item x="110"/>
        <item x="0"/>
        <item x="72"/>
        <item x="75"/>
        <item x="7"/>
        <item x="16"/>
        <item x="98"/>
        <item x="91"/>
        <item x="62"/>
        <item x="81"/>
        <item x="37"/>
        <item x="66"/>
        <item x="23"/>
        <item x="116"/>
        <item x="19"/>
        <item x="82"/>
        <item x="13"/>
        <item x="114"/>
        <item x="85"/>
        <item x="27"/>
        <item x="65"/>
        <item x="100"/>
        <item x="17"/>
        <item x="50"/>
        <item x="10"/>
        <item x="54"/>
        <item x="109"/>
        <item x="61"/>
        <item x="73"/>
        <item x="47"/>
        <item x="32"/>
        <item x="24"/>
        <item x="67"/>
        <item x="86"/>
        <item x="53"/>
        <item x="59"/>
        <item x="80"/>
        <item x="117"/>
        <item x="68"/>
        <item x="90"/>
        <item x="104"/>
        <item x="57"/>
        <item x="99"/>
        <item x="14"/>
        <item x="93"/>
        <item x="35"/>
        <item x="31"/>
        <item x="15"/>
        <item x="45"/>
        <item x="74"/>
        <item x="64"/>
        <item x="41"/>
        <item x="8"/>
        <item x="94"/>
        <item x="49"/>
        <item x="103"/>
        <item x="105"/>
        <item x="29"/>
        <item x="102"/>
        <item x="3"/>
        <item x="21"/>
        <item x="115"/>
        <item x="63"/>
        <item x="96"/>
        <item x="83"/>
        <item x="42"/>
        <item x="79"/>
        <item x="18"/>
        <item x="107"/>
        <item x="77"/>
        <item x="87"/>
        <item x="9"/>
        <item x="28"/>
        <item x="6"/>
        <item x="25"/>
        <item x="113"/>
        <item x="33"/>
        <item x="38"/>
        <item x="51"/>
        <item x="111"/>
        <item x="101"/>
        <item x="89"/>
        <item x="78"/>
        <item x="11"/>
        <item x="36"/>
        <item x="95"/>
        <item t="default"/>
      </items>
    </pivotField>
  </pivotFields>
  <rowFields count="1">
    <field x="2"/>
  </rowFields>
  <rowItems count="79">
    <i>
      <x v="70"/>
    </i>
    <i>
      <x v="47"/>
    </i>
    <i>
      <x v="71"/>
    </i>
    <i>
      <x v="56"/>
    </i>
    <i>
      <x v="39"/>
    </i>
    <i>
      <x v="34"/>
    </i>
    <i>
      <x v="26"/>
    </i>
    <i>
      <x v="4"/>
    </i>
    <i>
      <x v="73"/>
    </i>
    <i>
      <x v="72"/>
    </i>
    <i>
      <x v="63"/>
    </i>
    <i>
      <x v="62"/>
    </i>
    <i>
      <x v="58"/>
    </i>
    <i>
      <x v="57"/>
    </i>
    <i>
      <x v="38"/>
    </i>
    <i>
      <x v="31"/>
    </i>
    <i>
      <x v="14"/>
    </i>
    <i>
      <x v="6"/>
    </i>
    <i>
      <x/>
    </i>
    <i>
      <x v="76"/>
    </i>
    <i>
      <x v="75"/>
    </i>
    <i>
      <x v="67"/>
    </i>
    <i>
      <x v="66"/>
    </i>
    <i>
      <x v="61"/>
    </i>
    <i>
      <x v="60"/>
    </i>
    <i>
      <x v="59"/>
    </i>
    <i>
      <x v="53"/>
    </i>
    <i>
      <x v="51"/>
    </i>
    <i>
      <x v="48"/>
    </i>
    <i>
      <x v="44"/>
    </i>
    <i>
      <x v="37"/>
    </i>
    <i>
      <x v="33"/>
    </i>
    <i>
      <x v="32"/>
    </i>
    <i>
      <x v="29"/>
    </i>
    <i>
      <x v="25"/>
    </i>
    <i>
      <x v="15"/>
    </i>
    <i>
      <x v="13"/>
    </i>
    <i>
      <x v="12"/>
    </i>
    <i>
      <x v="11"/>
    </i>
    <i>
      <x v="10"/>
    </i>
    <i>
      <x v="9"/>
    </i>
    <i>
      <x v="5"/>
    </i>
    <i>
      <x v="2"/>
    </i>
    <i>
      <x v="77"/>
    </i>
    <i>
      <x v="74"/>
    </i>
    <i>
      <x v="69"/>
    </i>
    <i>
      <x v="68"/>
    </i>
    <i>
      <x v="65"/>
    </i>
    <i>
      <x v="64"/>
    </i>
    <i>
      <x v="55"/>
    </i>
    <i>
      <x v="54"/>
    </i>
    <i>
      <x v="52"/>
    </i>
    <i>
      <x v="50"/>
    </i>
    <i>
      <x v="49"/>
    </i>
    <i>
      <x v="46"/>
    </i>
    <i>
      <x v="45"/>
    </i>
    <i>
      <x v="43"/>
    </i>
    <i>
      <x v="42"/>
    </i>
    <i>
      <x v="41"/>
    </i>
    <i>
      <x v="40"/>
    </i>
    <i>
      <x v="36"/>
    </i>
    <i>
      <x v="35"/>
    </i>
    <i>
      <x v="30"/>
    </i>
    <i>
      <x v="28"/>
    </i>
    <i>
      <x v="27"/>
    </i>
    <i>
      <x v="24"/>
    </i>
    <i>
      <x v="23"/>
    </i>
    <i>
      <x v="22"/>
    </i>
    <i>
      <x v="21"/>
    </i>
    <i>
      <x v="20"/>
    </i>
    <i>
      <x v="19"/>
    </i>
    <i>
      <x v="18"/>
    </i>
    <i>
      <x v="17"/>
    </i>
    <i>
      <x v="16"/>
    </i>
    <i>
      <x v="8"/>
    </i>
    <i>
      <x v="7"/>
    </i>
    <i>
      <x v="3"/>
    </i>
    <i>
      <x v="1"/>
    </i>
    <i t="grand">
      <x/>
    </i>
  </rowItems>
  <colItems count="1">
    <i/>
  </colItems>
  <dataFields count="1">
    <dataField name="Count of Like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3:Q93" firstHeaderRow="0" firstDataRow="1" firstDataCol="1"/>
  <pivotFields count="17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52">
        <item x="24"/>
        <item x="8"/>
        <item x="18"/>
        <item x="20"/>
        <item x="33"/>
        <item x="9"/>
        <item x="37"/>
        <item x="6"/>
        <item x="0"/>
        <item x="15"/>
        <item x="21"/>
        <item x="7"/>
        <item x="10"/>
        <item x="5"/>
        <item x="19"/>
        <item x="1"/>
        <item x="32"/>
        <item x="3"/>
        <item x="22"/>
        <item x="27"/>
        <item x="35"/>
        <item x="34"/>
        <item x="41"/>
        <item x="36"/>
        <item x="31"/>
        <item x="4"/>
        <item x="25"/>
        <item x="11"/>
        <item x="17"/>
        <item x="48"/>
        <item x="23"/>
        <item x="47"/>
        <item x="44"/>
        <item x="2"/>
        <item x="12"/>
        <item x="40"/>
        <item x="14"/>
        <item x="46"/>
        <item x="16"/>
        <item x="28"/>
        <item x="42"/>
        <item x="26"/>
        <item x="49"/>
        <item x="30"/>
        <item x="38"/>
        <item x="45"/>
        <item x="29"/>
        <item x="43"/>
        <item x="13"/>
        <item x="39"/>
        <item x="50"/>
        <item t="default"/>
      </items>
    </pivotField>
    <pivotField compact="0" showAll="0">
      <items count="52">
        <item x="26"/>
        <item x="27"/>
        <item x="14"/>
        <item x="41"/>
        <item x="10"/>
        <item x="36"/>
        <item x="32"/>
        <item x="9"/>
        <item x="37"/>
        <item x="19"/>
        <item x="49"/>
        <item x="42"/>
        <item x="21"/>
        <item x="38"/>
        <item x="15"/>
        <item x="2"/>
        <item x="29"/>
        <item x="33"/>
        <item x="4"/>
        <item x="39"/>
        <item x="18"/>
        <item x="34"/>
        <item x="24"/>
        <item x="30"/>
        <item x="35"/>
        <item x="43"/>
        <item x="6"/>
        <item x="13"/>
        <item x="16"/>
        <item x="28"/>
        <item x="46"/>
        <item x="12"/>
        <item x="22"/>
        <item x="48"/>
        <item x="3"/>
        <item x="7"/>
        <item x="47"/>
        <item x="8"/>
        <item x="40"/>
        <item x="1"/>
        <item x="5"/>
        <item x="17"/>
        <item x="31"/>
        <item x="11"/>
        <item x="45"/>
        <item x="20"/>
        <item x="23"/>
        <item x="0"/>
        <item x="25"/>
        <item x="44"/>
        <item x="50"/>
        <item t="default"/>
      </items>
    </pivotField>
    <pivotField compact="0" showAll="0">
      <items count="52">
        <item x="6"/>
        <item x="27"/>
        <item x="38"/>
        <item x="16"/>
        <item x="42"/>
        <item x="2"/>
        <item x="32"/>
        <item x="29"/>
        <item x="36"/>
        <item x="1"/>
        <item x="46"/>
        <item x="0"/>
        <item x="9"/>
        <item x="15"/>
        <item x="8"/>
        <item x="11"/>
        <item x="28"/>
        <item x="40"/>
        <item x="41"/>
        <item x="39"/>
        <item x="14"/>
        <item x="25"/>
        <item x="44"/>
        <item x="18"/>
        <item x="5"/>
        <item x="30"/>
        <item x="10"/>
        <item x="49"/>
        <item x="22"/>
        <item x="33"/>
        <item x="23"/>
        <item x="12"/>
        <item x="19"/>
        <item x="7"/>
        <item x="17"/>
        <item x="45"/>
        <item x="34"/>
        <item x="35"/>
        <item x="43"/>
        <item x="47"/>
        <item x="3"/>
        <item x="21"/>
        <item x="48"/>
        <item x="13"/>
        <item x="37"/>
        <item x="26"/>
        <item x="4"/>
        <item x="24"/>
        <item x="20"/>
        <item x="31"/>
        <item x="50"/>
        <item t="default"/>
      </items>
    </pivotField>
    <pivotField compact="0" showAll="0">
      <items count="52">
        <item x="39"/>
        <item x="13"/>
        <item x="38"/>
        <item x="21"/>
        <item x="41"/>
        <item x="25"/>
        <item x="20"/>
        <item x="19"/>
        <item x="43"/>
        <item x="1"/>
        <item x="3"/>
        <item x="35"/>
        <item x="44"/>
        <item x="32"/>
        <item x="15"/>
        <item x="36"/>
        <item x="9"/>
        <item x="8"/>
        <item x="10"/>
        <item x="23"/>
        <item x="18"/>
        <item x="11"/>
        <item x="47"/>
        <item x="16"/>
        <item x="24"/>
        <item x="22"/>
        <item x="30"/>
        <item x="27"/>
        <item x="7"/>
        <item x="46"/>
        <item x="17"/>
        <item x="14"/>
        <item x="48"/>
        <item x="40"/>
        <item x="0"/>
        <item x="31"/>
        <item x="42"/>
        <item x="28"/>
        <item x="29"/>
        <item x="5"/>
        <item x="45"/>
        <item x="34"/>
        <item x="33"/>
        <item x="37"/>
        <item x="4"/>
        <item x="12"/>
        <item x="6"/>
        <item x="26"/>
        <item x="49"/>
        <item x="2"/>
        <item x="50"/>
        <item t="default"/>
      </items>
    </pivotField>
    <pivotField compact="0" showAll="0">
      <items count="35">
        <item x="26"/>
        <item x="18"/>
        <item x="24"/>
        <item x="22"/>
        <item x="4"/>
        <item x="9"/>
        <item x="3"/>
        <item x="21"/>
        <item x="10"/>
        <item x="23"/>
        <item x="12"/>
        <item x="16"/>
        <item x="6"/>
        <item x="0"/>
        <item x="7"/>
        <item x="2"/>
        <item x="27"/>
        <item x="14"/>
        <item x="8"/>
        <item x="1"/>
        <item x="25"/>
        <item x="11"/>
        <item x="30"/>
        <item x="32"/>
        <item x="5"/>
        <item x="19"/>
        <item x="13"/>
        <item x="20"/>
        <item x="29"/>
        <item x="31"/>
        <item x="28"/>
        <item x="17"/>
        <item x="15"/>
        <item x="33"/>
        <item t="default"/>
      </items>
    </pivotField>
    <pivotField compact="0" showAll="0">
      <items count="9">
        <item x="2"/>
        <item x="4"/>
        <item x="0"/>
        <item x="5"/>
        <item x="1"/>
        <item x="6"/>
        <item x="3"/>
        <item x="7"/>
        <item t="default"/>
      </items>
    </pivotField>
    <pivotField compact="0" showAll="0">
      <items count="45">
        <item x="9"/>
        <item x="17"/>
        <item x="41"/>
        <item x="28"/>
        <item x="14"/>
        <item x="16"/>
        <item x="0"/>
        <item x="5"/>
        <item x="26"/>
        <item x="31"/>
        <item x="32"/>
        <item x="23"/>
        <item x="29"/>
        <item x="35"/>
        <item x="40"/>
        <item x="34"/>
        <item x="4"/>
        <item x="15"/>
        <item x="2"/>
        <item x="20"/>
        <item x="36"/>
        <item x="30"/>
        <item x="24"/>
        <item x="6"/>
        <item x="38"/>
        <item x="21"/>
        <item x="18"/>
        <item x="42"/>
        <item x="11"/>
        <item x="7"/>
        <item x="8"/>
        <item x="19"/>
        <item x="10"/>
        <item x="13"/>
        <item x="25"/>
        <item x="3"/>
        <item x="39"/>
        <item x="27"/>
        <item x="37"/>
        <item x="1"/>
        <item x="12"/>
        <item x="33"/>
        <item x="22"/>
        <item x="43"/>
        <item t="default"/>
      </items>
    </pivotField>
    <pivotField compact="0" showAll="0">
      <items count="10">
        <item x="4"/>
        <item x="1"/>
        <item x="2"/>
        <item x="6"/>
        <item x="7"/>
        <item x="3"/>
        <item x="0"/>
        <item x="5"/>
        <item x="8"/>
        <item t="default"/>
      </items>
    </pivotField>
    <pivotField compact="0" showAll="0">
      <items count="8">
        <item x="4"/>
        <item x="1"/>
        <item x="3"/>
        <item x="2"/>
        <item x="5"/>
        <item x="0"/>
        <item x="6"/>
        <item t="default"/>
      </items>
    </pivotField>
    <pivotField compact="0" showAll="0">
      <items count="12">
        <item x="9"/>
        <item x="1"/>
        <item x="4"/>
        <item x="5"/>
        <item x="2"/>
        <item x="8"/>
        <item x="6"/>
        <item x="3"/>
        <item x="7"/>
        <item x="0"/>
        <item x="10"/>
        <item t="default"/>
      </items>
    </pivotField>
    <pivotField compact="0" showAll="0">
      <items count="35">
        <item x="20"/>
        <item x="26"/>
        <item x="8"/>
        <item x="15"/>
        <item x="31"/>
        <item x="3"/>
        <item x="5"/>
        <item x="32"/>
        <item x="9"/>
        <item x="17"/>
        <item x="19"/>
        <item x="14"/>
        <item x="7"/>
        <item x="28"/>
        <item x="1"/>
        <item x="0"/>
        <item x="23"/>
        <item x="16"/>
        <item x="6"/>
        <item x="10"/>
        <item x="2"/>
        <item x="4"/>
        <item x="22"/>
        <item x="21"/>
        <item x="27"/>
        <item x="30"/>
        <item x="29"/>
        <item x="11"/>
        <item x="13"/>
        <item x="12"/>
        <item x="18"/>
        <item x="25"/>
        <item x="24"/>
        <item x="33"/>
        <item t="default"/>
      </items>
    </pivotField>
    <pivotField compact="0" showAll="0">
      <items count="23">
        <item x="15"/>
        <item x="20"/>
        <item x="2"/>
        <item x="6"/>
        <item x="0"/>
        <item x="16"/>
        <item x="11"/>
        <item x="1"/>
        <item x="14"/>
        <item x="18"/>
        <item x="4"/>
        <item x="5"/>
        <item x="17"/>
        <item x="7"/>
        <item x="12"/>
        <item x="3"/>
        <item x="8"/>
        <item x="10"/>
        <item x="13"/>
        <item x="19"/>
        <item x="9"/>
        <item x="21"/>
        <item t="default"/>
      </items>
    </pivotField>
    <pivotField dataField="1"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dataField="1" compact="0"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axis="axisRow" compact="0" showAll="0">
      <items count="90">
        <item x="6"/>
        <item x="12"/>
        <item x="79"/>
        <item x="21"/>
        <item x="66"/>
        <item x="33"/>
        <item x="71"/>
        <item x="36"/>
        <item x="64"/>
        <item x="34"/>
        <item x="58"/>
        <item x="45"/>
        <item x="82"/>
        <item x="43"/>
        <item x="56"/>
        <item x="27"/>
        <item x="18"/>
        <item x="2"/>
        <item x="28"/>
        <item x="62"/>
        <item x="87"/>
        <item x="40"/>
        <item x="16"/>
        <item x="60"/>
        <item x="1"/>
        <item x="0"/>
        <item x="23"/>
        <item x="49"/>
        <item x="48"/>
        <item x="80"/>
        <item x="75"/>
        <item x="26"/>
        <item x="29"/>
        <item x="32"/>
        <item x="83"/>
        <item x="22"/>
        <item x="25"/>
        <item x="9"/>
        <item x="39"/>
        <item x="8"/>
        <item x="57"/>
        <item x="14"/>
        <item x="85"/>
        <item x="68"/>
        <item x="63"/>
        <item x="70"/>
        <item x="53"/>
        <item x="10"/>
        <item x="81"/>
        <item x="31"/>
        <item x="5"/>
        <item x="61"/>
        <item x="69"/>
        <item x="86"/>
        <item x="20"/>
        <item x="51"/>
        <item x="77"/>
        <item x="76"/>
        <item x="15"/>
        <item x="46"/>
        <item x="35"/>
        <item x="13"/>
        <item x="7"/>
        <item x="30"/>
        <item x="65"/>
        <item x="72"/>
        <item x="37"/>
        <item x="17"/>
        <item x="19"/>
        <item x="54"/>
        <item x="38"/>
        <item x="44"/>
        <item x="59"/>
        <item x="74"/>
        <item x="73"/>
        <item x="67"/>
        <item x="3"/>
        <item x="84"/>
        <item x="55"/>
        <item x="11"/>
        <item x="41"/>
        <item x="47"/>
        <item x="4"/>
        <item x="78"/>
        <item x="24"/>
        <item x="42"/>
        <item x="50"/>
        <item x="52"/>
        <item x="88"/>
        <item t="default"/>
      </items>
    </pivotField>
  </pivotFields>
  <rowFields count="1">
    <field x="16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ike_ID" fld="14" subtotal="count" baseField="0" baseItem="0"/>
    <dataField name="Count of Post_ID" fld="13" subtotal="count" baseField="0" baseItem="0"/>
    <dataField name="Count of Comment_ID" fld="1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5" name="PivotTable7"/>
    <pivotTable tabId="15" name="PivotTable8"/>
  </pivotTables>
  <data>
    <tabular pivotCacheId="1">
      <items count="51">
        <i x="39" s="1"/>
        <i x="13" s="1"/>
        <i x="38" s="1"/>
        <i x="21" s="1"/>
        <i x="41" s="1"/>
        <i x="25" s="1"/>
        <i x="20" s="1"/>
        <i x="19" s="1"/>
        <i x="43" s="1"/>
        <i x="1" s="1"/>
        <i x="3" s="1"/>
        <i x="35" s="1"/>
        <i x="44" s="1"/>
        <i x="32" s="1"/>
        <i x="15" s="1"/>
        <i x="36" s="1"/>
        <i x="9" s="1"/>
        <i x="8" s="1"/>
        <i x="10" s="1"/>
        <i x="23" s="1"/>
        <i x="18" s="1"/>
        <i x="11" s="1"/>
        <i x="47" s="1"/>
        <i x="16" s="1"/>
        <i x="24" s="1"/>
        <i x="22" s="1"/>
        <i x="30" s="1"/>
        <i x="27" s="1"/>
        <i x="7" s="1"/>
        <i x="46" s="1"/>
        <i x="17" s="1"/>
        <i x="14" s="1"/>
        <i x="48" s="1"/>
        <i x="40" s="1"/>
        <i x="0" s="1"/>
        <i x="31" s="1"/>
        <i x="42" s="1"/>
        <i x="28" s="1"/>
        <i x="29" s="1"/>
        <i x="5" s="1"/>
        <i x="45" s="1"/>
        <i x="34" s="1"/>
        <i x="33" s="1"/>
        <i x="37" s="1"/>
        <i x="4" s="1"/>
        <i x="12" s="1"/>
        <i x="6" s="1"/>
        <i x="26" s="1"/>
        <i x="49" s="1"/>
        <i x="2" s="1"/>
        <i x="5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ost_Date" sourceName="Post_Date">
  <pivotTables>
    <pivotTable tabId="15" name="PivotTable7"/>
    <pivotTable tabId="15" name="PivotTable8"/>
  </pivotTables>
  <data>
    <tabular pivotCacheId="1">
      <items count="89">
        <i x="6" s="1"/>
        <i x="12" s="1"/>
        <i x="79" s="1"/>
        <i x="21" s="1"/>
        <i x="66" s="1"/>
        <i x="33" s="1"/>
        <i x="71" s="1"/>
        <i x="36" s="1"/>
        <i x="64" s="1"/>
        <i x="34" s="1"/>
        <i x="58" s="1"/>
        <i x="45" s="1"/>
        <i x="82" s="1"/>
        <i x="43" s="1"/>
        <i x="56" s="1"/>
        <i x="27" s="1"/>
        <i x="18" s="1"/>
        <i x="2" s="1"/>
        <i x="28" s="1"/>
        <i x="62" s="1"/>
        <i x="87" s="1"/>
        <i x="40" s="1"/>
        <i x="16" s="1"/>
        <i x="60" s="1"/>
        <i x="1" s="1"/>
        <i x="0" s="1"/>
        <i x="23" s="1"/>
        <i x="49" s="1"/>
        <i x="48" s="1"/>
        <i x="80" s="1"/>
        <i x="75" s="1"/>
        <i x="26" s="1"/>
        <i x="29" s="1"/>
        <i x="32" s="1"/>
        <i x="83" s="1"/>
        <i x="22" s="1"/>
        <i x="25" s="1"/>
        <i x="9" s="1"/>
        <i x="39" s="1"/>
        <i x="8" s="1"/>
        <i x="57" s="1"/>
        <i x="14" s="1"/>
        <i x="85" s="1"/>
        <i x="68" s="1"/>
        <i x="63" s="1"/>
        <i x="70" s="1"/>
        <i x="53" s="1"/>
        <i x="10" s="1"/>
        <i x="81" s="1"/>
        <i x="31" s="1"/>
        <i x="5" s="1"/>
        <i x="61" s="1"/>
        <i x="69" s="1"/>
        <i x="86" s="1"/>
        <i x="20" s="1"/>
        <i x="51" s="1"/>
        <i x="77" s="1"/>
        <i x="76" s="1"/>
        <i x="15" s="1"/>
        <i x="46" s="1"/>
        <i x="35" s="1"/>
        <i x="13" s="1"/>
        <i x="7" s="1"/>
        <i x="30" s="1"/>
        <i x="65" s="1"/>
        <i x="72" s="1"/>
        <i x="37" s="1"/>
        <i x="17" s="1"/>
        <i x="19" s="1"/>
        <i x="54" s="1"/>
        <i x="38" s="1"/>
        <i x="44" s="1"/>
        <i x="59" s="1"/>
        <i x="74" s="1"/>
        <i x="73" s="1"/>
        <i x="67" s="1"/>
        <i x="3" s="1"/>
        <i x="84" s="1"/>
        <i x="55" s="1"/>
        <i x="11" s="1"/>
        <i x="41" s="1"/>
        <i x="47" s="1"/>
        <i x="4" s="1"/>
        <i x="78" s="1"/>
        <i x="24" s="1"/>
        <i x="42" s="1"/>
        <i x="50" s="1"/>
        <i x="52" s="1"/>
        <i x="88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ike_Date" sourceName="Like_Date">
  <pivotTables>
    <pivotTable tabId="15" name="PivotTable3"/>
  </pivotTables>
  <data>
    <tabular pivotCacheId="2">
      <items count="119">
        <i x="69" s="1"/>
        <i x="1" s="1"/>
        <i x="40" s="1"/>
        <i x="76" s="1"/>
        <i x="112" s="1"/>
        <i x="43" s="1"/>
        <i x="5" s="1"/>
        <i x="71" s="1"/>
        <i x="56" s="1"/>
        <i x="46" s="1"/>
        <i x="60" s="1"/>
        <i x="4" s="1"/>
        <i x="108" s="1"/>
        <i x="84" s="1"/>
        <i x="39" s="1"/>
        <i x="52" s="1"/>
        <i x="48" s="1"/>
        <i x="92" s="1"/>
        <i x="106" s="1"/>
        <i x="22" s="1"/>
        <i x="2" s="1"/>
        <i x="55" s="1"/>
        <i x="58" s="1"/>
        <i x="26" s="1"/>
        <i x="88" s="1"/>
        <i x="97" s="1"/>
        <i x="44" s="1"/>
        <i x="12" s="1"/>
        <i x="70" s="1"/>
        <i x="118" s="1"/>
        <i x="34" s="1"/>
        <i x="30" s="1"/>
        <i x="20" s="1"/>
        <i x="110" s="1"/>
        <i x="0" s="1"/>
        <i x="72" s="1"/>
        <i x="75" s="1"/>
        <i x="7" s="1"/>
        <i x="16" s="1"/>
        <i x="98" s="1"/>
        <i x="91" s="1"/>
        <i x="62" s="1"/>
        <i x="81" s="1"/>
        <i x="37" s="1"/>
        <i x="66" s="1"/>
        <i x="23" s="1"/>
        <i x="116" s="1"/>
        <i x="19" s="1"/>
        <i x="82" s="1"/>
        <i x="13" s="1"/>
        <i x="114" s="1"/>
        <i x="85" s="1"/>
        <i x="27" s="1"/>
        <i x="65" s="1"/>
        <i x="100" s="1"/>
        <i x="17" s="1"/>
        <i x="50" s="1"/>
        <i x="10" s="1"/>
        <i x="54" s="1"/>
        <i x="109" s="1"/>
        <i x="61" s="1"/>
        <i x="73" s="1"/>
        <i x="47" s="1"/>
        <i x="32" s="1"/>
        <i x="24" s="1"/>
        <i x="67" s="1"/>
        <i x="86" s="1"/>
        <i x="53" s="1"/>
        <i x="59" s="1"/>
        <i x="80" s="1"/>
        <i x="117" s="1"/>
        <i x="68" s="1"/>
        <i x="90" s="1"/>
        <i x="104" s="1"/>
        <i x="57" s="1"/>
        <i x="99" s="1"/>
        <i x="14" s="1"/>
        <i x="93" s="1"/>
        <i x="35" s="1"/>
        <i x="31" s="1"/>
        <i x="15" s="1"/>
        <i x="45" s="1"/>
        <i x="74" s="1"/>
        <i x="64" s="1"/>
        <i x="41" s="1"/>
        <i x="8" s="1"/>
        <i x="94" s="1"/>
        <i x="49" s="1"/>
        <i x="103" s="1"/>
        <i x="105" s="1"/>
        <i x="29" s="1"/>
        <i x="102" s="1"/>
        <i x="3" s="1"/>
        <i x="21" s="1"/>
        <i x="115" s="1"/>
        <i x="63" s="1"/>
        <i x="96" s="1"/>
        <i x="83" s="1"/>
        <i x="42" s="1"/>
        <i x="79" s="1"/>
        <i x="18" s="1"/>
        <i x="107" s="1"/>
        <i x="77" s="1"/>
        <i x="87" s="1"/>
        <i x="9" s="1"/>
        <i x="28" s="1"/>
        <i x="6" s="1"/>
        <i x="25" s="1"/>
        <i x="113" s="1"/>
        <i x="33" s="1"/>
        <i x="38" s="1"/>
        <i x="51" s="1"/>
        <i x="111" s="1"/>
        <i x="101" s="1"/>
        <i x="89" s="1"/>
        <i x="78" s="1"/>
        <i x="11" s="1"/>
        <i x="36" s="1"/>
        <i x="9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style="SlicerStyleLight2" rowHeight="225425"/>
  <slicer name="Post_Date" cache="Slicer_Post_Date" caption="Post_Date" style="SlicerStyleLight4" rowHeight="225425"/>
  <slicer name="Like_Date" cache="Slicer_Like_Date" caption="Like_Date" style="SlicerStyleOther2" rowHeight="225425"/>
</slicers>
</file>

<file path=xl/tables/table1.xml><?xml version="1.0" encoding="utf-8"?>
<table xmlns="http://schemas.openxmlformats.org/spreadsheetml/2006/main" id="1" name="Table1" displayName="Table1" ref="A1:M51" totalsRowShown="0">
  <autoFilter xmlns:etc="http://www.wps.cn/officeDocument/2017/etCustomData" ref="A1:M51" etc:filterBottomFollowUsedRange="0"/>
  <tableColumns count="13">
    <tableColumn id="1" name="User_ID"/>
    <tableColumn id="2" name="Username"/>
    <tableColumn id="3" name="Email"/>
    <tableColumn id="4" name="Join_Date" dataDxfId="0"/>
    <tableColumn id="5" name="City"/>
    <tableColumn id="6" name="domain" dataDxfId="1"/>
    <tableColumn id="7" name="post_count" dataDxfId="2">
      <calculatedColumnFormula>COUNTIF(Posts!B:B,Users!A2)</calculatedColumnFormula>
    </tableColumn>
    <tableColumn id="8" name="Avg_cont_length" dataDxfId="3">
      <calculatedColumnFormula>AVERAGEIF(Posts!B:B,Users!A2,Posts!C:C)</calculatedColumnFormula>
    </tableColumn>
    <tableColumn id="9" name="Likes_given" dataDxfId="4">
      <calculatedColumnFormula>COUNTIF(Likes!B:B,Users!A2)</calculatedColumnFormula>
    </tableColumn>
    <tableColumn id="10" name="comments_given" dataDxfId="5">
      <calculatedColumnFormula>COUNTIF(Comments!C:C,Users!A2)</calculatedColumnFormula>
    </tableColumn>
    <tableColumn id="11" name="Total_act" dataDxfId="6">
      <calculatedColumnFormula>SUM(I2+J2)</calculatedColumnFormula>
    </tableColumn>
    <tableColumn id="12" name="user_name" dataDxfId="7">
      <calculatedColumnFormula>_xlfn.XLOOKUP(Comments!C2,Users!A:A,Users!B:B,"Not Found")</calculatedColumnFormula>
    </tableColumn>
    <tableColumn id="13" name="duration_months" dataDxfId="8">
      <calculatedColumnFormula>DATEDIF(Friendships!D2,TODAY(),"M")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N:Q" totalsRowShown="0">
  <autoFilter xmlns:etc="http://www.wps.cn/officeDocument/2017/etCustomData" ref="N1:Q1048576" etc:filterBottomFollowUsedRange="0"/>
  <tableColumns count="4">
    <tableColumn id="1" name="Post_ID"/>
    <tableColumn id="2" name="Like_ID"/>
    <tableColumn id="3" name="Comment_ID"/>
    <tableColumn id="4" name="Post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workbookViewId="0">
      <selection activeCell="A1" sqref="A$1:A$1048576"/>
    </sheetView>
  </sheetViews>
  <sheetFormatPr defaultColWidth="9" defaultRowHeight="14.4" outlineLevelCol="4"/>
  <cols>
    <col min="5" max="5" width="17.3333333333333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>
        <v>1</v>
      </c>
      <c r="B2">
        <v>68</v>
      </c>
      <c r="C2">
        <v>42</v>
      </c>
      <c r="D2" t="s">
        <v>5</v>
      </c>
      <c r="E2" s="26">
        <v>45629</v>
      </c>
    </row>
    <row r="3" spans="1:5">
      <c r="A3">
        <v>2</v>
      </c>
      <c r="B3">
        <v>74</v>
      </c>
      <c r="C3">
        <v>28</v>
      </c>
      <c r="D3" t="s">
        <v>6</v>
      </c>
      <c r="E3" s="26">
        <v>45780</v>
      </c>
    </row>
    <row r="4" spans="1:5">
      <c r="A4">
        <v>3</v>
      </c>
      <c r="B4">
        <v>88</v>
      </c>
      <c r="C4">
        <v>24</v>
      </c>
      <c r="D4" t="s">
        <v>7</v>
      </c>
      <c r="E4" s="26">
        <v>45604</v>
      </c>
    </row>
    <row r="5" spans="1:5">
      <c r="A5">
        <v>4</v>
      </c>
      <c r="B5">
        <v>70</v>
      </c>
      <c r="C5">
        <v>1</v>
      </c>
      <c r="D5" t="s">
        <v>8</v>
      </c>
      <c r="E5" s="26">
        <v>45757</v>
      </c>
    </row>
    <row r="6" spans="1:5">
      <c r="A6">
        <v>5</v>
      </c>
      <c r="B6">
        <v>76</v>
      </c>
      <c r="C6">
        <v>45</v>
      </c>
      <c r="D6" t="s">
        <v>9</v>
      </c>
      <c r="E6" s="26">
        <v>45715</v>
      </c>
    </row>
    <row r="7" spans="1:5">
      <c r="A7">
        <v>6</v>
      </c>
      <c r="B7">
        <v>81</v>
      </c>
      <c r="C7">
        <v>16</v>
      </c>
      <c r="D7" t="s">
        <v>10</v>
      </c>
      <c r="E7" s="26">
        <v>45846</v>
      </c>
    </row>
    <row r="8" spans="1:5">
      <c r="A8">
        <v>7</v>
      </c>
      <c r="B8">
        <v>40</v>
      </c>
      <c r="C8">
        <v>45</v>
      </c>
      <c r="D8" t="s">
        <v>11</v>
      </c>
      <c r="E8" s="26">
        <v>45780</v>
      </c>
    </row>
    <row r="9" spans="1:5">
      <c r="A9">
        <v>8</v>
      </c>
      <c r="B9">
        <v>23</v>
      </c>
      <c r="C9">
        <v>18</v>
      </c>
      <c r="D9" t="s">
        <v>12</v>
      </c>
      <c r="E9" s="26">
        <v>45812</v>
      </c>
    </row>
    <row r="10" spans="1:5">
      <c r="A10">
        <v>9</v>
      </c>
      <c r="B10">
        <v>63</v>
      </c>
      <c r="C10">
        <v>4</v>
      </c>
      <c r="D10" t="s">
        <v>13</v>
      </c>
      <c r="E10" s="26">
        <v>45592</v>
      </c>
    </row>
    <row r="11" spans="1:5">
      <c r="A11">
        <v>10</v>
      </c>
      <c r="B11">
        <v>50</v>
      </c>
      <c r="C11">
        <v>19</v>
      </c>
      <c r="D11" t="s">
        <v>14</v>
      </c>
      <c r="E11" s="26">
        <v>45848</v>
      </c>
    </row>
    <row r="12" spans="1:5">
      <c r="A12">
        <v>11</v>
      </c>
      <c r="B12">
        <v>18</v>
      </c>
      <c r="C12">
        <v>6</v>
      </c>
      <c r="D12" t="s">
        <v>15</v>
      </c>
      <c r="E12" s="26">
        <v>45891</v>
      </c>
    </row>
    <row r="13" spans="1:5">
      <c r="A13">
        <v>12</v>
      </c>
      <c r="B13">
        <v>60</v>
      </c>
      <c r="C13">
        <v>49</v>
      </c>
      <c r="D13" t="s">
        <v>16</v>
      </c>
      <c r="E13" s="26">
        <v>45783</v>
      </c>
    </row>
    <row r="14" spans="1:5">
      <c r="A14">
        <v>13</v>
      </c>
      <c r="B14">
        <v>36</v>
      </c>
      <c r="C14">
        <v>28</v>
      </c>
      <c r="D14" t="s">
        <v>17</v>
      </c>
      <c r="E14" s="26">
        <v>45745</v>
      </c>
    </row>
    <row r="15" spans="1:5">
      <c r="A15">
        <v>14</v>
      </c>
      <c r="B15">
        <v>3</v>
      </c>
      <c r="C15">
        <v>27</v>
      </c>
      <c r="D15" t="s">
        <v>18</v>
      </c>
      <c r="E15" s="26">
        <v>45703</v>
      </c>
    </row>
    <row r="16" spans="1:5">
      <c r="A16">
        <v>15</v>
      </c>
      <c r="B16">
        <v>32</v>
      </c>
      <c r="C16">
        <v>6</v>
      </c>
      <c r="D16" t="s">
        <v>19</v>
      </c>
      <c r="E16" s="26">
        <v>45793</v>
      </c>
    </row>
    <row r="17" spans="1:5">
      <c r="A17">
        <v>16</v>
      </c>
      <c r="B17">
        <v>85</v>
      </c>
      <c r="C17">
        <v>46</v>
      </c>
      <c r="D17" t="s">
        <v>20</v>
      </c>
      <c r="E17" s="26">
        <v>45672</v>
      </c>
    </row>
    <row r="18" spans="1:5">
      <c r="A18">
        <v>17</v>
      </c>
      <c r="B18">
        <v>69</v>
      </c>
      <c r="C18">
        <v>50</v>
      </c>
      <c r="D18" t="s">
        <v>21</v>
      </c>
      <c r="E18" s="26">
        <v>45605</v>
      </c>
    </row>
    <row r="19" spans="1:5">
      <c r="A19">
        <v>18</v>
      </c>
      <c r="B19">
        <v>26</v>
      </c>
      <c r="C19">
        <v>46</v>
      </c>
      <c r="D19" t="s">
        <v>22</v>
      </c>
      <c r="E19" s="26">
        <v>45677</v>
      </c>
    </row>
    <row r="20" spans="1:5">
      <c r="A20">
        <v>19</v>
      </c>
      <c r="B20">
        <v>81</v>
      </c>
      <c r="C20">
        <v>46</v>
      </c>
      <c r="D20" t="s">
        <v>23</v>
      </c>
      <c r="E20" s="26">
        <v>45903</v>
      </c>
    </row>
    <row r="21" spans="1:5">
      <c r="A21">
        <v>20</v>
      </c>
      <c r="B21">
        <v>91</v>
      </c>
      <c r="C21">
        <v>18</v>
      </c>
      <c r="D21" t="s">
        <v>24</v>
      </c>
      <c r="E21" s="26">
        <v>45651</v>
      </c>
    </row>
    <row r="22" spans="1:5">
      <c r="A22">
        <v>21</v>
      </c>
      <c r="B22">
        <v>27</v>
      </c>
      <c r="C22">
        <v>49</v>
      </c>
      <c r="D22" t="s">
        <v>25</v>
      </c>
      <c r="E22" s="26">
        <v>45872</v>
      </c>
    </row>
    <row r="23" spans="1:5">
      <c r="A23">
        <v>22</v>
      </c>
      <c r="B23">
        <v>82</v>
      </c>
      <c r="C23">
        <v>28</v>
      </c>
      <c r="D23" t="s">
        <v>26</v>
      </c>
      <c r="E23" s="26">
        <v>45752</v>
      </c>
    </row>
    <row r="24" spans="1:5">
      <c r="A24">
        <v>23</v>
      </c>
      <c r="B24">
        <v>86</v>
      </c>
      <c r="C24">
        <v>33</v>
      </c>
      <c r="D24" t="s">
        <v>27</v>
      </c>
      <c r="E24" s="26">
        <v>45685</v>
      </c>
    </row>
    <row r="25" spans="1:5">
      <c r="A25">
        <v>24</v>
      </c>
      <c r="B25">
        <v>92</v>
      </c>
      <c r="C25">
        <v>50</v>
      </c>
      <c r="D25" t="s">
        <v>28</v>
      </c>
      <c r="E25" s="26">
        <v>45907</v>
      </c>
    </row>
    <row r="26" spans="1:5">
      <c r="A26">
        <v>25</v>
      </c>
      <c r="B26">
        <v>79</v>
      </c>
      <c r="C26">
        <v>34</v>
      </c>
      <c r="D26" t="s">
        <v>29</v>
      </c>
      <c r="E26" s="26">
        <v>45807</v>
      </c>
    </row>
    <row r="27" spans="1:5">
      <c r="A27">
        <v>26</v>
      </c>
      <c r="B27">
        <v>93</v>
      </c>
      <c r="C27">
        <v>12</v>
      </c>
      <c r="D27" t="s">
        <v>30</v>
      </c>
      <c r="E27" s="26">
        <v>45728</v>
      </c>
    </row>
    <row r="28" spans="1:5">
      <c r="A28">
        <v>27</v>
      </c>
      <c r="B28">
        <v>56</v>
      </c>
      <c r="C28">
        <v>20</v>
      </c>
      <c r="D28" t="s">
        <v>31</v>
      </c>
      <c r="E28" s="26">
        <v>45848</v>
      </c>
    </row>
    <row r="29" spans="1:5">
      <c r="A29">
        <v>28</v>
      </c>
      <c r="B29">
        <v>42</v>
      </c>
      <c r="C29">
        <v>30</v>
      </c>
      <c r="D29" t="s">
        <v>32</v>
      </c>
      <c r="E29" s="26">
        <v>45908</v>
      </c>
    </row>
    <row r="30" spans="1:5">
      <c r="A30">
        <v>29</v>
      </c>
      <c r="B30">
        <v>32</v>
      </c>
      <c r="C30">
        <v>2</v>
      </c>
      <c r="D30" t="s">
        <v>33</v>
      </c>
      <c r="E30" s="26">
        <v>45775</v>
      </c>
    </row>
    <row r="31" spans="1:5">
      <c r="A31">
        <v>30</v>
      </c>
      <c r="B31">
        <v>5</v>
      </c>
      <c r="C31">
        <v>25</v>
      </c>
      <c r="D31" t="s">
        <v>34</v>
      </c>
      <c r="E31" s="26">
        <v>45880</v>
      </c>
    </row>
    <row r="32" spans="1:5">
      <c r="A32">
        <v>31</v>
      </c>
      <c r="B32">
        <v>63</v>
      </c>
      <c r="C32">
        <v>12</v>
      </c>
      <c r="D32" t="s">
        <v>35</v>
      </c>
      <c r="E32" s="26">
        <v>45780</v>
      </c>
    </row>
    <row r="33" spans="1:5">
      <c r="A33">
        <v>32</v>
      </c>
      <c r="B33">
        <v>69</v>
      </c>
      <c r="C33">
        <v>41</v>
      </c>
      <c r="D33" t="s">
        <v>36</v>
      </c>
      <c r="E33" s="26">
        <v>45672</v>
      </c>
    </row>
    <row r="34" spans="1:5">
      <c r="A34">
        <v>33</v>
      </c>
      <c r="B34">
        <v>63</v>
      </c>
      <c r="C34">
        <v>3</v>
      </c>
      <c r="D34" t="s">
        <v>37</v>
      </c>
      <c r="E34" s="26">
        <v>45784</v>
      </c>
    </row>
    <row r="35" spans="1:5">
      <c r="A35">
        <v>34</v>
      </c>
      <c r="B35">
        <v>32</v>
      </c>
      <c r="C35">
        <v>32</v>
      </c>
      <c r="D35" t="s">
        <v>38</v>
      </c>
      <c r="E35" s="26">
        <v>45655</v>
      </c>
    </row>
    <row r="36" spans="1:5">
      <c r="A36">
        <v>35</v>
      </c>
      <c r="B36">
        <v>52</v>
      </c>
      <c r="C36">
        <v>14</v>
      </c>
      <c r="D36" t="s">
        <v>39</v>
      </c>
      <c r="E36" s="26">
        <v>45848</v>
      </c>
    </row>
    <row r="37" spans="1:5">
      <c r="A37">
        <v>36</v>
      </c>
      <c r="B37">
        <v>90</v>
      </c>
      <c r="C37">
        <v>44</v>
      </c>
      <c r="D37" t="s">
        <v>40</v>
      </c>
      <c r="E37" s="26">
        <v>45582</v>
      </c>
    </row>
    <row r="38" spans="1:5">
      <c r="A38">
        <v>37</v>
      </c>
      <c r="B38">
        <v>11</v>
      </c>
      <c r="C38">
        <v>32</v>
      </c>
      <c r="D38" t="s">
        <v>41</v>
      </c>
      <c r="E38" s="26">
        <v>45839</v>
      </c>
    </row>
    <row r="39" spans="1:5">
      <c r="A39">
        <v>38</v>
      </c>
      <c r="B39">
        <v>87</v>
      </c>
      <c r="C39">
        <v>32</v>
      </c>
      <c r="D39" t="s">
        <v>42</v>
      </c>
      <c r="E39" s="26">
        <v>45716</v>
      </c>
    </row>
    <row r="40" spans="1:5">
      <c r="A40">
        <v>39</v>
      </c>
      <c r="B40">
        <v>76</v>
      </c>
      <c r="C40">
        <v>9</v>
      </c>
      <c r="D40" t="s">
        <v>43</v>
      </c>
      <c r="E40" s="26">
        <v>45730</v>
      </c>
    </row>
    <row r="41" spans="1:5">
      <c r="A41">
        <v>40</v>
      </c>
      <c r="B41">
        <v>65</v>
      </c>
      <c r="C41">
        <v>17</v>
      </c>
      <c r="D41" t="s">
        <v>44</v>
      </c>
      <c r="E41" s="26">
        <v>45852</v>
      </c>
    </row>
    <row r="42" spans="1:5">
      <c r="A42">
        <v>41</v>
      </c>
      <c r="B42">
        <v>81</v>
      </c>
      <c r="C42">
        <v>23</v>
      </c>
      <c r="D42" t="s">
        <v>45</v>
      </c>
      <c r="E42" s="26">
        <v>45730</v>
      </c>
    </row>
    <row r="43" spans="1:5">
      <c r="A43">
        <v>42</v>
      </c>
      <c r="B43">
        <v>72</v>
      </c>
      <c r="C43">
        <v>32</v>
      </c>
      <c r="D43" t="s">
        <v>46</v>
      </c>
      <c r="E43" s="26">
        <v>45827</v>
      </c>
    </row>
    <row r="44" spans="1:5">
      <c r="A44">
        <v>43</v>
      </c>
      <c r="B44">
        <v>77</v>
      </c>
      <c r="C44">
        <v>43</v>
      </c>
      <c r="D44" t="s">
        <v>47</v>
      </c>
      <c r="E44" s="26">
        <v>45717</v>
      </c>
    </row>
    <row r="45" spans="1:5">
      <c r="A45">
        <v>44</v>
      </c>
      <c r="B45">
        <v>55</v>
      </c>
      <c r="C45">
        <v>29</v>
      </c>
      <c r="D45" t="s">
        <v>48</v>
      </c>
      <c r="E45" s="26">
        <v>45837</v>
      </c>
    </row>
    <row r="46" spans="1:5">
      <c r="A46">
        <v>45</v>
      </c>
      <c r="B46">
        <v>25</v>
      </c>
      <c r="C46">
        <v>10</v>
      </c>
      <c r="D46" t="s">
        <v>49</v>
      </c>
      <c r="E46" s="26">
        <v>45741</v>
      </c>
    </row>
    <row r="47" spans="1:5">
      <c r="A47">
        <v>46</v>
      </c>
      <c r="B47">
        <v>37</v>
      </c>
      <c r="C47">
        <v>16</v>
      </c>
      <c r="D47" t="s">
        <v>50</v>
      </c>
      <c r="E47" s="26">
        <v>45894</v>
      </c>
    </row>
    <row r="48" spans="1:5">
      <c r="A48">
        <v>47</v>
      </c>
      <c r="B48">
        <v>43</v>
      </c>
      <c r="C48">
        <v>46</v>
      </c>
      <c r="D48" t="s">
        <v>51</v>
      </c>
      <c r="E48" s="26">
        <v>45832</v>
      </c>
    </row>
    <row r="49" spans="1:5">
      <c r="A49">
        <v>48</v>
      </c>
      <c r="B49">
        <v>17</v>
      </c>
      <c r="C49">
        <v>22</v>
      </c>
      <c r="D49" t="s">
        <v>52</v>
      </c>
      <c r="E49" s="26">
        <v>45689</v>
      </c>
    </row>
    <row r="50" spans="1:5">
      <c r="A50">
        <v>49</v>
      </c>
      <c r="B50">
        <v>87</v>
      </c>
      <c r="C50">
        <v>3</v>
      </c>
      <c r="D50" t="s">
        <v>53</v>
      </c>
      <c r="E50" s="26">
        <v>45780</v>
      </c>
    </row>
    <row r="51" spans="1:5">
      <c r="A51">
        <v>50</v>
      </c>
      <c r="B51">
        <v>70</v>
      </c>
      <c r="C51">
        <v>32</v>
      </c>
      <c r="D51" t="s">
        <v>54</v>
      </c>
      <c r="E51" s="26">
        <v>45778</v>
      </c>
    </row>
    <row r="52" spans="1:5">
      <c r="A52">
        <v>51</v>
      </c>
      <c r="B52">
        <v>30</v>
      </c>
      <c r="C52">
        <v>15</v>
      </c>
      <c r="D52" t="s">
        <v>55</v>
      </c>
      <c r="E52" s="26">
        <v>45652</v>
      </c>
    </row>
    <row r="53" spans="1:5">
      <c r="A53">
        <v>52</v>
      </c>
      <c r="B53">
        <v>31</v>
      </c>
      <c r="C53">
        <v>7</v>
      </c>
      <c r="D53" t="s">
        <v>56</v>
      </c>
      <c r="E53" s="26">
        <v>45598</v>
      </c>
    </row>
    <row r="54" spans="1:5">
      <c r="A54">
        <v>53</v>
      </c>
      <c r="B54">
        <v>71</v>
      </c>
      <c r="C54">
        <v>5</v>
      </c>
      <c r="D54" t="s">
        <v>57</v>
      </c>
      <c r="E54" s="26">
        <v>45721</v>
      </c>
    </row>
    <row r="55" spans="1:5">
      <c r="A55">
        <v>54</v>
      </c>
      <c r="B55">
        <v>8</v>
      </c>
      <c r="C55">
        <v>23</v>
      </c>
      <c r="D55" t="s">
        <v>58</v>
      </c>
      <c r="E55" s="26">
        <v>45567</v>
      </c>
    </row>
    <row r="56" spans="1:5">
      <c r="A56">
        <v>55</v>
      </c>
      <c r="B56">
        <v>78</v>
      </c>
      <c r="C56">
        <v>29</v>
      </c>
      <c r="D56" t="s">
        <v>59</v>
      </c>
      <c r="E56" s="26">
        <v>45873</v>
      </c>
    </row>
    <row r="57" spans="1:5">
      <c r="A57">
        <v>56</v>
      </c>
      <c r="B57">
        <v>69</v>
      </c>
      <c r="C57">
        <v>36</v>
      </c>
      <c r="D57" t="s">
        <v>60</v>
      </c>
      <c r="E57" s="26">
        <v>45811</v>
      </c>
    </row>
    <row r="58" spans="1:5">
      <c r="A58">
        <v>57</v>
      </c>
      <c r="B58">
        <v>62</v>
      </c>
      <c r="C58">
        <v>23</v>
      </c>
      <c r="D58" t="s">
        <v>61</v>
      </c>
      <c r="E58" s="26">
        <v>45884</v>
      </c>
    </row>
    <row r="59" spans="1:5">
      <c r="A59">
        <v>58</v>
      </c>
      <c r="B59">
        <v>32</v>
      </c>
      <c r="C59">
        <v>29</v>
      </c>
      <c r="D59" t="s">
        <v>62</v>
      </c>
      <c r="E59" s="26">
        <v>45586</v>
      </c>
    </row>
    <row r="60" spans="1:5">
      <c r="A60">
        <v>59</v>
      </c>
      <c r="B60">
        <v>47</v>
      </c>
      <c r="C60">
        <v>9</v>
      </c>
      <c r="D60" t="s">
        <v>63</v>
      </c>
      <c r="E60" s="26">
        <v>45806</v>
      </c>
    </row>
    <row r="61" spans="1:5">
      <c r="A61">
        <v>60</v>
      </c>
      <c r="B61">
        <v>24</v>
      </c>
      <c r="C61">
        <v>40</v>
      </c>
      <c r="D61" t="s">
        <v>64</v>
      </c>
      <c r="E61" s="26">
        <v>45785</v>
      </c>
    </row>
    <row r="62" spans="1:5">
      <c r="A62">
        <v>61</v>
      </c>
      <c r="B62">
        <v>97</v>
      </c>
      <c r="C62">
        <v>13</v>
      </c>
      <c r="D62" t="s">
        <v>65</v>
      </c>
      <c r="E62" s="26">
        <v>45593</v>
      </c>
    </row>
    <row r="63" spans="1:5">
      <c r="A63">
        <v>62</v>
      </c>
      <c r="B63">
        <v>24</v>
      </c>
      <c r="C63">
        <v>36</v>
      </c>
      <c r="D63" t="s">
        <v>66</v>
      </c>
      <c r="E63" s="26">
        <v>45826</v>
      </c>
    </row>
    <row r="64" spans="1:5">
      <c r="A64">
        <v>63</v>
      </c>
      <c r="B64">
        <v>35</v>
      </c>
      <c r="C64">
        <v>38</v>
      </c>
      <c r="D64" t="s">
        <v>67</v>
      </c>
      <c r="E64" s="26">
        <v>45845</v>
      </c>
    </row>
    <row r="65" spans="1:5">
      <c r="A65">
        <v>64</v>
      </c>
      <c r="B65">
        <v>38</v>
      </c>
      <c r="C65">
        <v>43</v>
      </c>
      <c r="D65" t="s">
        <v>68</v>
      </c>
      <c r="E65" s="26">
        <v>45834</v>
      </c>
    </row>
    <row r="66" spans="1:5">
      <c r="A66">
        <v>65</v>
      </c>
      <c r="B66">
        <v>91</v>
      </c>
      <c r="C66">
        <v>29</v>
      </c>
      <c r="D66" t="s">
        <v>69</v>
      </c>
      <c r="E66" s="26">
        <v>45719</v>
      </c>
    </row>
    <row r="67" spans="1:5">
      <c r="A67">
        <v>66</v>
      </c>
      <c r="B67">
        <v>56</v>
      </c>
      <c r="C67">
        <v>25</v>
      </c>
      <c r="D67" t="s">
        <v>70</v>
      </c>
      <c r="E67" s="26">
        <v>45653</v>
      </c>
    </row>
    <row r="68" spans="1:5">
      <c r="A68">
        <v>67</v>
      </c>
      <c r="B68">
        <v>15</v>
      </c>
      <c r="C68">
        <v>46</v>
      </c>
      <c r="D68" t="s">
        <v>71</v>
      </c>
      <c r="E68" s="26">
        <v>45553</v>
      </c>
    </row>
    <row r="69" spans="1:5">
      <c r="A69">
        <v>68</v>
      </c>
      <c r="B69">
        <v>57</v>
      </c>
      <c r="C69">
        <v>4</v>
      </c>
      <c r="D69" t="s">
        <v>72</v>
      </c>
      <c r="E69" s="26">
        <v>45763</v>
      </c>
    </row>
    <row r="70" spans="1:5">
      <c r="A70">
        <v>69</v>
      </c>
      <c r="B70">
        <v>7</v>
      </c>
      <c r="C70">
        <v>47</v>
      </c>
      <c r="D70" t="s">
        <v>73</v>
      </c>
      <c r="E70" s="26">
        <v>45867</v>
      </c>
    </row>
    <row r="71" spans="1:5">
      <c r="A71">
        <v>70</v>
      </c>
      <c r="B71">
        <v>16</v>
      </c>
      <c r="C71">
        <v>34</v>
      </c>
      <c r="D71" t="s">
        <v>74</v>
      </c>
      <c r="E71" s="26">
        <v>45911</v>
      </c>
    </row>
    <row r="72" spans="1:5">
      <c r="A72">
        <v>71</v>
      </c>
      <c r="B72">
        <v>28</v>
      </c>
      <c r="C72">
        <v>25</v>
      </c>
      <c r="D72" t="s">
        <v>75</v>
      </c>
      <c r="E72" s="26">
        <v>45898</v>
      </c>
    </row>
    <row r="73" spans="1:5">
      <c r="A73">
        <v>72</v>
      </c>
      <c r="B73">
        <v>3</v>
      </c>
      <c r="C73">
        <v>30</v>
      </c>
      <c r="D73" t="s">
        <v>76</v>
      </c>
      <c r="E73" s="26">
        <v>45720</v>
      </c>
    </row>
    <row r="74" spans="1:5">
      <c r="A74">
        <v>73</v>
      </c>
      <c r="B74">
        <v>5</v>
      </c>
      <c r="C74">
        <v>29</v>
      </c>
      <c r="D74" t="s">
        <v>77</v>
      </c>
      <c r="E74" s="26">
        <v>45592</v>
      </c>
    </row>
    <row r="75" spans="1:5">
      <c r="A75">
        <v>74</v>
      </c>
      <c r="B75">
        <v>88</v>
      </c>
      <c r="C75">
        <v>40</v>
      </c>
      <c r="D75" t="s">
        <v>78</v>
      </c>
      <c r="E75" s="26">
        <v>45631</v>
      </c>
    </row>
    <row r="76" spans="1:5">
      <c r="A76">
        <v>75</v>
      </c>
      <c r="B76">
        <v>10</v>
      </c>
      <c r="C76">
        <v>30</v>
      </c>
      <c r="D76" t="s">
        <v>79</v>
      </c>
      <c r="E76" s="26">
        <v>45718</v>
      </c>
    </row>
    <row r="77" spans="1:5">
      <c r="A77">
        <v>76</v>
      </c>
      <c r="B77">
        <v>31</v>
      </c>
      <c r="C77">
        <v>1</v>
      </c>
      <c r="D77" t="s">
        <v>80</v>
      </c>
      <c r="E77" s="26">
        <v>45611</v>
      </c>
    </row>
    <row r="78" spans="1:5">
      <c r="A78">
        <v>77</v>
      </c>
      <c r="B78">
        <v>38</v>
      </c>
      <c r="C78">
        <v>20</v>
      </c>
      <c r="D78" t="s">
        <v>81</v>
      </c>
      <c r="E78" s="26">
        <v>45647</v>
      </c>
    </row>
    <row r="79" spans="1:5">
      <c r="A79">
        <v>78</v>
      </c>
      <c r="B79">
        <v>65</v>
      </c>
      <c r="C79">
        <v>27</v>
      </c>
      <c r="D79" t="s">
        <v>82</v>
      </c>
      <c r="E79" s="26">
        <v>45774</v>
      </c>
    </row>
    <row r="80" spans="1:5">
      <c r="A80">
        <v>79</v>
      </c>
      <c r="B80">
        <v>14</v>
      </c>
      <c r="C80">
        <v>16</v>
      </c>
      <c r="D80" t="s">
        <v>83</v>
      </c>
      <c r="E80" s="26">
        <v>45905</v>
      </c>
    </row>
    <row r="81" spans="1:5">
      <c r="A81">
        <v>80</v>
      </c>
      <c r="B81">
        <v>67</v>
      </c>
      <c r="C81">
        <v>16</v>
      </c>
      <c r="D81" t="s">
        <v>84</v>
      </c>
      <c r="E81" s="26">
        <v>45827</v>
      </c>
    </row>
    <row r="82" spans="1:5">
      <c r="A82">
        <v>81</v>
      </c>
      <c r="B82">
        <v>8</v>
      </c>
      <c r="C82">
        <v>45</v>
      </c>
      <c r="D82" t="s">
        <v>85</v>
      </c>
      <c r="E82" s="26">
        <v>45912</v>
      </c>
    </row>
    <row r="83" spans="1:5">
      <c r="A83">
        <v>82</v>
      </c>
      <c r="B83">
        <v>19</v>
      </c>
      <c r="C83">
        <v>34</v>
      </c>
      <c r="D83" t="s">
        <v>86</v>
      </c>
      <c r="E83" s="26">
        <v>45835</v>
      </c>
    </row>
    <row r="84" spans="1:5">
      <c r="A84">
        <v>83</v>
      </c>
      <c r="B84">
        <v>55</v>
      </c>
      <c r="C84">
        <v>38</v>
      </c>
      <c r="D84" t="s">
        <v>87</v>
      </c>
      <c r="E84" s="26">
        <v>45905</v>
      </c>
    </row>
    <row r="85" spans="1:5">
      <c r="A85">
        <v>84</v>
      </c>
      <c r="B85">
        <v>6</v>
      </c>
      <c r="C85">
        <v>21</v>
      </c>
      <c r="D85" t="s">
        <v>88</v>
      </c>
      <c r="E85" s="26">
        <v>45567</v>
      </c>
    </row>
    <row r="86" spans="1:5">
      <c r="A86">
        <v>85</v>
      </c>
      <c r="B86">
        <v>28</v>
      </c>
      <c r="C86">
        <v>22</v>
      </c>
      <c r="D86" t="s">
        <v>89</v>
      </c>
      <c r="E86" s="26">
        <v>45740</v>
      </c>
    </row>
    <row r="87" spans="1:5">
      <c r="A87">
        <v>86</v>
      </c>
      <c r="B87">
        <v>71</v>
      </c>
      <c r="C87">
        <v>34</v>
      </c>
      <c r="D87" t="s">
        <v>90</v>
      </c>
      <c r="E87" s="26">
        <v>45686</v>
      </c>
    </row>
    <row r="88" spans="1:5">
      <c r="A88">
        <v>87</v>
      </c>
      <c r="B88">
        <v>17</v>
      </c>
      <c r="C88">
        <v>22</v>
      </c>
      <c r="D88" t="s">
        <v>91</v>
      </c>
      <c r="E88" s="26">
        <v>45645</v>
      </c>
    </row>
    <row r="89" spans="1:5">
      <c r="A89">
        <v>88</v>
      </c>
      <c r="B89">
        <v>31</v>
      </c>
      <c r="C89">
        <v>1</v>
      </c>
      <c r="D89" t="s">
        <v>92</v>
      </c>
      <c r="E89" s="26">
        <v>45878</v>
      </c>
    </row>
    <row r="90" spans="1:5">
      <c r="A90">
        <v>89</v>
      </c>
      <c r="B90">
        <v>8</v>
      </c>
      <c r="C90">
        <v>23</v>
      </c>
      <c r="D90" t="s">
        <v>93</v>
      </c>
      <c r="E90" s="26">
        <v>45636</v>
      </c>
    </row>
    <row r="91" spans="1:5">
      <c r="A91">
        <v>90</v>
      </c>
      <c r="B91">
        <v>29</v>
      </c>
      <c r="C91">
        <v>42</v>
      </c>
      <c r="D91" t="s">
        <v>94</v>
      </c>
      <c r="E91" s="26">
        <v>45573</v>
      </c>
    </row>
    <row r="92" spans="1:5">
      <c r="A92">
        <v>91</v>
      </c>
      <c r="B92">
        <v>58</v>
      </c>
      <c r="C92">
        <v>24</v>
      </c>
      <c r="D92" t="s">
        <v>95</v>
      </c>
      <c r="E92" s="26">
        <v>45892</v>
      </c>
    </row>
    <row r="93" spans="1:5">
      <c r="A93">
        <v>92</v>
      </c>
      <c r="B93">
        <v>14</v>
      </c>
      <c r="C93">
        <v>4</v>
      </c>
      <c r="D93" t="s">
        <v>96</v>
      </c>
      <c r="E93" s="26">
        <v>45568</v>
      </c>
    </row>
    <row r="94" spans="1:5">
      <c r="A94">
        <v>93</v>
      </c>
      <c r="B94">
        <v>68</v>
      </c>
      <c r="C94">
        <v>30</v>
      </c>
      <c r="D94" t="s">
        <v>97</v>
      </c>
      <c r="E94" s="26">
        <v>45872</v>
      </c>
    </row>
    <row r="95" spans="1:5">
      <c r="A95">
        <v>94</v>
      </c>
      <c r="B95">
        <v>90</v>
      </c>
      <c r="C95">
        <v>35</v>
      </c>
      <c r="D95" t="s">
        <v>98</v>
      </c>
      <c r="E95" s="26">
        <v>45859</v>
      </c>
    </row>
    <row r="96" spans="1:5">
      <c r="A96">
        <v>95</v>
      </c>
      <c r="B96">
        <v>8</v>
      </c>
      <c r="C96">
        <v>47</v>
      </c>
      <c r="D96" t="s">
        <v>99</v>
      </c>
      <c r="E96" s="26">
        <v>45745</v>
      </c>
    </row>
    <row r="97" spans="1:5">
      <c r="A97">
        <v>96</v>
      </c>
      <c r="B97">
        <v>32</v>
      </c>
      <c r="C97">
        <v>22</v>
      </c>
      <c r="D97" t="s">
        <v>100</v>
      </c>
      <c r="E97" s="26">
        <v>45574</v>
      </c>
    </row>
    <row r="98" spans="1:5">
      <c r="A98">
        <v>97</v>
      </c>
      <c r="B98">
        <v>8</v>
      </c>
      <c r="C98">
        <v>16</v>
      </c>
      <c r="D98" t="s">
        <v>101</v>
      </c>
      <c r="E98" s="26">
        <v>45891</v>
      </c>
    </row>
    <row r="99" spans="1:5">
      <c r="A99">
        <v>98</v>
      </c>
      <c r="B99">
        <v>85</v>
      </c>
      <c r="C99">
        <v>33</v>
      </c>
      <c r="D99" t="s">
        <v>102</v>
      </c>
      <c r="E99" s="26">
        <v>45807</v>
      </c>
    </row>
    <row r="100" spans="1:5">
      <c r="A100">
        <v>99</v>
      </c>
      <c r="B100">
        <v>73</v>
      </c>
      <c r="C100">
        <v>36</v>
      </c>
      <c r="D100" t="s">
        <v>103</v>
      </c>
      <c r="E100" s="26">
        <v>45884</v>
      </c>
    </row>
    <row r="101" spans="1:5">
      <c r="A101">
        <v>100</v>
      </c>
      <c r="B101">
        <v>51</v>
      </c>
      <c r="C101">
        <v>33</v>
      </c>
      <c r="D101" t="s">
        <v>104</v>
      </c>
      <c r="E101" s="26">
        <v>45869</v>
      </c>
    </row>
    <row r="102" spans="1:5">
      <c r="A102">
        <v>101</v>
      </c>
      <c r="B102">
        <v>82</v>
      </c>
      <c r="C102">
        <v>48</v>
      </c>
      <c r="D102" t="s">
        <v>105</v>
      </c>
      <c r="E102" s="26">
        <v>45606</v>
      </c>
    </row>
    <row r="103" spans="1:5">
      <c r="A103">
        <v>102</v>
      </c>
      <c r="B103">
        <v>66</v>
      </c>
      <c r="C103">
        <v>27</v>
      </c>
      <c r="D103" t="s">
        <v>106</v>
      </c>
      <c r="E103" s="26">
        <v>45821</v>
      </c>
    </row>
    <row r="104" spans="1:5">
      <c r="A104">
        <v>103</v>
      </c>
      <c r="B104">
        <v>89</v>
      </c>
      <c r="C104">
        <v>7</v>
      </c>
      <c r="D104" t="s">
        <v>107</v>
      </c>
      <c r="E104" s="26">
        <v>45836</v>
      </c>
    </row>
    <row r="105" spans="1:5">
      <c r="A105">
        <v>104</v>
      </c>
      <c r="B105">
        <v>44</v>
      </c>
      <c r="C105">
        <v>45</v>
      </c>
      <c r="D105" t="s">
        <v>108</v>
      </c>
      <c r="E105" s="26">
        <v>45885</v>
      </c>
    </row>
    <row r="106" spans="1:5">
      <c r="A106">
        <v>105</v>
      </c>
      <c r="B106">
        <v>97</v>
      </c>
      <c r="C106">
        <v>3</v>
      </c>
      <c r="D106" t="s">
        <v>109</v>
      </c>
      <c r="E106" s="26">
        <v>45795</v>
      </c>
    </row>
    <row r="107" spans="1:5">
      <c r="A107">
        <v>106</v>
      </c>
      <c r="B107">
        <v>75</v>
      </c>
      <c r="C107">
        <v>7</v>
      </c>
      <c r="D107" t="s">
        <v>110</v>
      </c>
      <c r="E107" s="26">
        <v>45657</v>
      </c>
    </row>
    <row r="108" spans="1:5">
      <c r="A108">
        <v>107</v>
      </c>
      <c r="B108">
        <v>58</v>
      </c>
      <c r="C108">
        <v>43</v>
      </c>
      <c r="D108" t="s">
        <v>111</v>
      </c>
      <c r="E108" s="26">
        <v>45872</v>
      </c>
    </row>
    <row r="109" spans="1:5">
      <c r="A109">
        <v>108</v>
      </c>
      <c r="B109">
        <v>81</v>
      </c>
      <c r="C109">
        <v>25</v>
      </c>
      <c r="D109" t="s">
        <v>112</v>
      </c>
      <c r="E109" s="26">
        <v>45724</v>
      </c>
    </row>
    <row r="110" spans="1:5">
      <c r="A110">
        <v>109</v>
      </c>
      <c r="B110">
        <v>53</v>
      </c>
      <c r="C110">
        <v>28</v>
      </c>
      <c r="D110" t="s">
        <v>113</v>
      </c>
      <c r="E110" s="26">
        <v>45634</v>
      </c>
    </row>
    <row r="111" spans="1:5">
      <c r="A111">
        <v>110</v>
      </c>
      <c r="B111">
        <v>12</v>
      </c>
      <c r="C111">
        <v>1</v>
      </c>
      <c r="D111" t="s">
        <v>114</v>
      </c>
      <c r="E111" s="26">
        <v>45562</v>
      </c>
    </row>
    <row r="112" spans="1:5">
      <c r="A112">
        <v>111</v>
      </c>
      <c r="B112">
        <v>87</v>
      </c>
      <c r="C112">
        <v>21</v>
      </c>
      <c r="D112" t="s">
        <v>115</v>
      </c>
      <c r="E112" s="26">
        <v>45579</v>
      </c>
    </row>
    <row r="113" spans="1:5">
      <c r="A113">
        <v>112</v>
      </c>
      <c r="B113">
        <v>15</v>
      </c>
      <c r="C113">
        <v>44</v>
      </c>
      <c r="D113" t="s">
        <v>116</v>
      </c>
      <c r="E113" s="26">
        <v>45683</v>
      </c>
    </row>
    <row r="114" spans="1:5">
      <c r="A114">
        <v>113</v>
      </c>
      <c r="B114">
        <v>99</v>
      </c>
      <c r="C114">
        <v>19</v>
      </c>
      <c r="D114" t="s">
        <v>117</v>
      </c>
      <c r="E114" s="26">
        <v>45687</v>
      </c>
    </row>
    <row r="115" spans="1:5">
      <c r="A115">
        <v>114</v>
      </c>
      <c r="B115">
        <v>27</v>
      </c>
      <c r="C115">
        <v>21</v>
      </c>
      <c r="D115" t="s">
        <v>118</v>
      </c>
      <c r="E115" s="26">
        <v>45727</v>
      </c>
    </row>
    <row r="116" spans="1:5">
      <c r="A116">
        <v>115</v>
      </c>
      <c r="B116">
        <v>10</v>
      </c>
      <c r="C116">
        <v>8</v>
      </c>
      <c r="D116" t="s">
        <v>119</v>
      </c>
      <c r="E116" s="26">
        <v>45603</v>
      </c>
    </row>
    <row r="117" spans="1:5">
      <c r="A117">
        <v>116</v>
      </c>
      <c r="B117">
        <v>84</v>
      </c>
      <c r="C117">
        <v>8</v>
      </c>
      <c r="D117" t="s">
        <v>120</v>
      </c>
      <c r="E117" s="26">
        <v>45619</v>
      </c>
    </row>
    <row r="118" spans="1:5">
      <c r="A118">
        <v>117</v>
      </c>
      <c r="B118">
        <v>51</v>
      </c>
      <c r="C118">
        <v>42</v>
      </c>
      <c r="D118" t="s">
        <v>121</v>
      </c>
      <c r="E118" s="26">
        <v>45893</v>
      </c>
    </row>
    <row r="119" spans="1:5">
      <c r="A119">
        <v>118</v>
      </c>
      <c r="B119">
        <v>96</v>
      </c>
      <c r="C119">
        <v>20</v>
      </c>
      <c r="D119" t="s">
        <v>122</v>
      </c>
      <c r="E119" s="26">
        <v>45761</v>
      </c>
    </row>
    <row r="120" spans="1:5">
      <c r="A120">
        <v>119</v>
      </c>
      <c r="B120">
        <v>56</v>
      </c>
      <c r="C120">
        <v>42</v>
      </c>
      <c r="D120" t="s">
        <v>123</v>
      </c>
      <c r="E120" s="26">
        <v>45852</v>
      </c>
    </row>
    <row r="121" spans="1:5">
      <c r="A121">
        <v>120</v>
      </c>
      <c r="B121">
        <v>4</v>
      </c>
      <c r="C121">
        <v>1</v>
      </c>
      <c r="D121" t="s">
        <v>124</v>
      </c>
      <c r="E121" s="26">
        <v>45566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G21" sqref="G21"/>
    </sheetView>
  </sheetViews>
  <sheetFormatPr defaultColWidth="9" defaultRowHeight="14.4" outlineLevelCol="4"/>
  <cols>
    <col min="2" max="2" width="18" customWidth="1"/>
    <col min="3" max="3" width="29.8888888888889" customWidth="1"/>
    <col min="4" max="4" width="19.2222222222222" customWidth="1"/>
    <col min="5" max="5" width="24.6666666666667" customWidth="1"/>
  </cols>
  <sheetData>
    <row r="1" spans="1:5">
      <c r="A1" s="4" t="s">
        <v>2</v>
      </c>
      <c r="B1" s="4" t="s">
        <v>125</v>
      </c>
      <c r="C1" s="4" t="s">
        <v>126</v>
      </c>
      <c r="D1" s="4" t="s">
        <v>127</v>
      </c>
      <c r="E1" s="4" t="s">
        <v>128</v>
      </c>
    </row>
    <row r="2" spans="1:5">
      <c r="A2">
        <v>1</v>
      </c>
      <c r="B2" t="s">
        <v>129</v>
      </c>
      <c r="C2" t="s">
        <v>130</v>
      </c>
      <c r="D2" s="26">
        <v>45335</v>
      </c>
      <c r="E2" t="s">
        <v>131</v>
      </c>
    </row>
    <row r="3" spans="1:5">
      <c r="A3">
        <v>2</v>
      </c>
      <c r="B3" t="s">
        <v>132</v>
      </c>
      <c r="C3" t="s">
        <v>133</v>
      </c>
      <c r="D3" s="26">
        <v>45317</v>
      </c>
      <c r="E3" t="s">
        <v>134</v>
      </c>
    </row>
    <row r="4" spans="1:5">
      <c r="A4">
        <v>3</v>
      </c>
      <c r="B4" t="s">
        <v>135</v>
      </c>
      <c r="C4" t="s">
        <v>136</v>
      </c>
      <c r="D4" s="26">
        <v>45238</v>
      </c>
      <c r="E4" t="s">
        <v>137</v>
      </c>
    </row>
    <row r="5" spans="1:5">
      <c r="A5">
        <v>4</v>
      </c>
      <c r="B5" t="s">
        <v>138</v>
      </c>
      <c r="C5" t="s">
        <v>139</v>
      </c>
      <c r="D5" s="26">
        <v>45768</v>
      </c>
      <c r="E5" t="s">
        <v>140</v>
      </c>
    </row>
    <row r="6" spans="1:5">
      <c r="A6">
        <v>5</v>
      </c>
      <c r="B6" t="s">
        <v>141</v>
      </c>
      <c r="C6" t="s">
        <v>142</v>
      </c>
      <c r="D6" s="26">
        <v>45848</v>
      </c>
      <c r="E6" t="s">
        <v>143</v>
      </c>
    </row>
    <row r="7" spans="1:5">
      <c r="A7">
        <v>6</v>
      </c>
      <c r="B7" t="s">
        <v>144</v>
      </c>
      <c r="C7" t="s">
        <v>145</v>
      </c>
      <c r="D7" s="26">
        <v>45536</v>
      </c>
      <c r="E7" t="s">
        <v>146</v>
      </c>
    </row>
    <row r="8" spans="1:5">
      <c r="A8">
        <v>7</v>
      </c>
      <c r="B8" t="s">
        <v>147</v>
      </c>
      <c r="C8" t="s">
        <v>148</v>
      </c>
      <c r="D8" s="26">
        <v>45193</v>
      </c>
      <c r="E8" t="s">
        <v>149</v>
      </c>
    </row>
    <row r="9" spans="1:5">
      <c r="A9">
        <v>8</v>
      </c>
      <c r="B9" t="s">
        <v>150</v>
      </c>
      <c r="C9" t="s">
        <v>151</v>
      </c>
      <c r="D9" s="26">
        <v>45629</v>
      </c>
      <c r="E9" t="s">
        <v>152</v>
      </c>
    </row>
    <row r="10" spans="1:5">
      <c r="A10">
        <v>9</v>
      </c>
      <c r="B10" t="s">
        <v>153</v>
      </c>
      <c r="C10" t="s">
        <v>154</v>
      </c>
      <c r="D10" s="26">
        <v>45376</v>
      </c>
      <c r="E10" t="s">
        <v>155</v>
      </c>
    </row>
    <row r="11" spans="1:5">
      <c r="A11">
        <v>10</v>
      </c>
      <c r="B11" t="s">
        <v>156</v>
      </c>
      <c r="C11" t="s">
        <v>157</v>
      </c>
      <c r="D11" s="26">
        <v>45344</v>
      </c>
      <c r="E11" t="s">
        <v>158</v>
      </c>
    </row>
    <row r="12" spans="1:5">
      <c r="A12">
        <v>11</v>
      </c>
      <c r="B12" t="s">
        <v>159</v>
      </c>
      <c r="C12" t="s">
        <v>160</v>
      </c>
      <c r="D12" s="26">
        <v>45554</v>
      </c>
      <c r="E12" t="s">
        <v>161</v>
      </c>
    </row>
    <row r="13" spans="1:5">
      <c r="A13">
        <v>12</v>
      </c>
      <c r="B13" t="s">
        <v>162</v>
      </c>
      <c r="C13" t="s">
        <v>163</v>
      </c>
      <c r="D13" s="26">
        <v>45394</v>
      </c>
      <c r="E13" t="s">
        <v>164</v>
      </c>
    </row>
    <row r="14" spans="1:5">
      <c r="A14">
        <v>13</v>
      </c>
      <c r="B14" t="s">
        <v>165</v>
      </c>
      <c r="C14" t="s">
        <v>166</v>
      </c>
      <c r="D14" s="26">
        <v>45596</v>
      </c>
      <c r="E14" t="s">
        <v>167</v>
      </c>
    </row>
    <row r="15" spans="1:5">
      <c r="A15">
        <v>14</v>
      </c>
      <c r="B15" t="s">
        <v>168</v>
      </c>
      <c r="C15" t="s">
        <v>169</v>
      </c>
      <c r="D15" s="26">
        <v>45820</v>
      </c>
      <c r="E15" t="s">
        <v>170</v>
      </c>
    </row>
    <row r="16" spans="1:5">
      <c r="A16">
        <v>15</v>
      </c>
      <c r="B16" t="s">
        <v>171</v>
      </c>
      <c r="C16" t="s">
        <v>172</v>
      </c>
      <c r="D16" s="26">
        <v>45476</v>
      </c>
      <c r="E16" t="s">
        <v>173</v>
      </c>
    </row>
    <row r="17" spans="1:5">
      <c r="A17">
        <v>16</v>
      </c>
      <c r="B17" t="s">
        <v>174</v>
      </c>
      <c r="C17" t="s">
        <v>175</v>
      </c>
      <c r="D17" s="26">
        <v>45372</v>
      </c>
      <c r="E17" t="s">
        <v>176</v>
      </c>
    </row>
    <row r="18" spans="1:5">
      <c r="A18">
        <v>17</v>
      </c>
      <c r="B18" t="s">
        <v>177</v>
      </c>
      <c r="C18" t="s">
        <v>178</v>
      </c>
      <c r="D18" s="26">
        <v>45217</v>
      </c>
      <c r="E18" t="s">
        <v>179</v>
      </c>
    </row>
    <row r="19" spans="1:5">
      <c r="A19">
        <v>18</v>
      </c>
      <c r="B19" t="s">
        <v>180</v>
      </c>
      <c r="C19" t="s">
        <v>181</v>
      </c>
      <c r="D19" s="26">
        <v>45669</v>
      </c>
      <c r="E19" t="s">
        <v>182</v>
      </c>
    </row>
    <row r="20" spans="1:5">
      <c r="A20">
        <v>19</v>
      </c>
      <c r="B20" t="s">
        <v>183</v>
      </c>
      <c r="C20" t="s">
        <v>184</v>
      </c>
      <c r="D20" s="26">
        <v>45526</v>
      </c>
      <c r="E20" t="s">
        <v>185</v>
      </c>
    </row>
    <row r="21" spans="1:5">
      <c r="A21">
        <v>20</v>
      </c>
      <c r="B21" t="s">
        <v>186</v>
      </c>
      <c r="C21" t="s">
        <v>187</v>
      </c>
      <c r="D21" s="26">
        <v>45609</v>
      </c>
      <c r="E21" t="s">
        <v>188</v>
      </c>
    </row>
    <row r="22" spans="1:5">
      <c r="A22">
        <v>21</v>
      </c>
      <c r="B22" t="s">
        <v>189</v>
      </c>
      <c r="C22" t="s">
        <v>190</v>
      </c>
      <c r="D22" s="26">
        <v>45883</v>
      </c>
      <c r="E22" t="s">
        <v>191</v>
      </c>
    </row>
    <row r="23" spans="1:5">
      <c r="A23">
        <v>22</v>
      </c>
      <c r="B23" t="s">
        <v>192</v>
      </c>
      <c r="C23" t="s">
        <v>193</v>
      </c>
      <c r="D23" s="26">
        <v>45798</v>
      </c>
      <c r="E23" t="s">
        <v>194</v>
      </c>
    </row>
    <row r="24" spans="1:5">
      <c r="A24">
        <v>23</v>
      </c>
      <c r="B24" t="s">
        <v>195</v>
      </c>
      <c r="C24" t="s">
        <v>196</v>
      </c>
      <c r="D24" s="26">
        <v>45559</v>
      </c>
      <c r="E24" t="s">
        <v>197</v>
      </c>
    </row>
    <row r="25" spans="1:5">
      <c r="A25">
        <v>24</v>
      </c>
      <c r="B25" t="s">
        <v>198</v>
      </c>
      <c r="C25" t="s">
        <v>199</v>
      </c>
      <c r="D25" s="26">
        <v>45587</v>
      </c>
      <c r="E25" t="s">
        <v>200</v>
      </c>
    </row>
    <row r="26" spans="1:5">
      <c r="A26">
        <v>25</v>
      </c>
      <c r="B26" t="s">
        <v>201</v>
      </c>
      <c r="C26" t="s">
        <v>202</v>
      </c>
      <c r="D26" s="26">
        <v>45853</v>
      </c>
      <c r="E26" t="s">
        <v>203</v>
      </c>
    </row>
    <row r="27" spans="1:5">
      <c r="A27">
        <v>26</v>
      </c>
      <c r="B27" t="s">
        <v>204</v>
      </c>
      <c r="C27" t="s">
        <v>205</v>
      </c>
      <c r="D27" s="26">
        <v>45481</v>
      </c>
      <c r="E27" t="s">
        <v>206</v>
      </c>
    </row>
    <row r="28" spans="1:5">
      <c r="A28">
        <v>27</v>
      </c>
      <c r="B28" t="s">
        <v>207</v>
      </c>
      <c r="C28" t="s">
        <v>208</v>
      </c>
      <c r="D28" s="26">
        <v>45846</v>
      </c>
      <c r="E28" t="s">
        <v>209</v>
      </c>
    </row>
    <row r="29" spans="1:5">
      <c r="A29">
        <v>28</v>
      </c>
      <c r="B29" t="s">
        <v>210</v>
      </c>
      <c r="C29" t="s">
        <v>211</v>
      </c>
      <c r="D29" s="26">
        <v>45194</v>
      </c>
      <c r="E29" t="s">
        <v>212</v>
      </c>
    </row>
    <row r="30" spans="1:5">
      <c r="A30">
        <v>29</v>
      </c>
      <c r="B30" t="s">
        <v>213</v>
      </c>
      <c r="C30" t="s">
        <v>214</v>
      </c>
      <c r="D30" s="26">
        <v>45405</v>
      </c>
      <c r="E30" t="s">
        <v>215</v>
      </c>
    </row>
    <row r="31" spans="1:5">
      <c r="A31">
        <v>30</v>
      </c>
      <c r="B31" t="s">
        <v>216</v>
      </c>
      <c r="C31" t="s">
        <v>217</v>
      </c>
      <c r="D31" s="26">
        <v>45268</v>
      </c>
      <c r="E31" t="s">
        <v>218</v>
      </c>
    </row>
    <row r="32" spans="1:5">
      <c r="A32">
        <v>31</v>
      </c>
      <c r="B32" t="s">
        <v>219</v>
      </c>
      <c r="C32" t="s">
        <v>220</v>
      </c>
      <c r="D32" s="26">
        <v>45548</v>
      </c>
      <c r="E32" t="s">
        <v>221</v>
      </c>
    </row>
    <row r="33" spans="1:5">
      <c r="A33">
        <v>32</v>
      </c>
      <c r="B33" t="s">
        <v>222</v>
      </c>
      <c r="C33" t="s">
        <v>223</v>
      </c>
      <c r="D33" s="26">
        <v>45893</v>
      </c>
      <c r="E33" t="s">
        <v>224</v>
      </c>
    </row>
    <row r="34" spans="1:5">
      <c r="A34">
        <v>33</v>
      </c>
      <c r="B34" t="s">
        <v>225</v>
      </c>
      <c r="C34" t="s">
        <v>226</v>
      </c>
      <c r="D34" s="26">
        <v>45265</v>
      </c>
      <c r="E34" t="s">
        <v>227</v>
      </c>
    </row>
    <row r="35" spans="1:5">
      <c r="A35">
        <v>34</v>
      </c>
      <c r="B35" t="s">
        <v>228</v>
      </c>
      <c r="C35" t="s">
        <v>229</v>
      </c>
      <c r="D35" s="26">
        <v>45561</v>
      </c>
      <c r="E35" t="s">
        <v>230</v>
      </c>
    </row>
    <row r="36" spans="1:5">
      <c r="A36">
        <v>35</v>
      </c>
      <c r="B36" t="s">
        <v>231</v>
      </c>
      <c r="C36" t="s">
        <v>232</v>
      </c>
      <c r="D36" s="26">
        <v>45703</v>
      </c>
      <c r="E36" t="s">
        <v>233</v>
      </c>
    </row>
    <row r="37" spans="1:5">
      <c r="A37">
        <v>36</v>
      </c>
      <c r="B37" t="s">
        <v>234</v>
      </c>
      <c r="C37" t="s">
        <v>235</v>
      </c>
      <c r="D37" s="26">
        <v>45723</v>
      </c>
      <c r="E37" t="s">
        <v>236</v>
      </c>
    </row>
    <row r="38" spans="1:5">
      <c r="A38">
        <v>37</v>
      </c>
      <c r="B38" t="s">
        <v>237</v>
      </c>
      <c r="C38" t="s">
        <v>238</v>
      </c>
      <c r="D38" s="26">
        <v>45284</v>
      </c>
      <c r="E38" t="s">
        <v>239</v>
      </c>
    </row>
    <row r="39" spans="1:5">
      <c r="A39">
        <v>38</v>
      </c>
      <c r="B39" t="s">
        <v>240</v>
      </c>
      <c r="C39" t="s">
        <v>241</v>
      </c>
      <c r="D39" s="26">
        <v>45824</v>
      </c>
      <c r="E39" t="s">
        <v>242</v>
      </c>
    </row>
    <row r="40" spans="1:5">
      <c r="A40">
        <v>39</v>
      </c>
      <c r="B40" t="s">
        <v>243</v>
      </c>
      <c r="C40" t="s">
        <v>244</v>
      </c>
      <c r="D40" s="26">
        <v>45197</v>
      </c>
      <c r="E40" t="s">
        <v>245</v>
      </c>
    </row>
    <row r="41" spans="1:5">
      <c r="A41">
        <v>40</v>
      </c>
      <c r="B41" t="s">
        <v>246</v>
      </c>
      <c r="C41" t="s">
        <v>247</v>
      </c>
      <c r="D41" s="26">
        <v>45464</v>
      </c>
      <c r="E41" t="s">
        <v>248</v>
      </c>
    </row>
    <row r="42" spans="1:5">
      <c r="A42">
        <v>41</v>
      </c>
      <c r="B42" t="s">
        <v>249</v>
      </c>
      <c r="C42" t="s">
        <v>250</v>
      </c>
      <c r="D42" s="26">
        <v>45415</v>
      </c>
      <c r="E42" t="s">
        <v>251</v>
      </c>
    </row>
    <row r="43" spans="1:5">
      <c r="A43">
        <v>42</v>
      </c>
      <c r="B43" t="s">
        <v>252</v>
      </c>
      <c r="C43" t="s">
        <v>253</v>
      </c>
      <c r="D43" s="26">
        <v>45426</v>
      </c>
      <c r="E43" t="s">
        <v>254</v>
      </c>
    </row>
    <row r="44" spans="1:5">
      <c r="A44">
        <v>43</v>
      </c>
      <c r="B44" t="s">
        <v>255</v>
      </c>
      <c r="C44" t="s">
        <v>256</v>
      </c>
      <c r="D44" s="26">
        <v>45237</v>
      </c>
      <c r="E44" t="s">
        <v>257</v>
      </c>
    </row>
    <row r="45" spans="1:5">
      <c r="A45">
        <v>44</v>
      </c>
      <c r="B45" t="s">
        <v>258</v>
      </c>
      <c r="C45" t="s">
        <v>259</v>
      </c>
      <c r="D45" s="26">
        <v>45735</v>
      </c>
      <c r="E45" t="s">
        <v>260</v>
      </c>
    </row>
    <row r="46" spans="1:5">
      <c r="A46">
        <v>45</v>
      </c>
      <c r="B46" t="s">
        <v>261</v>
      </c>
      <c r="C46" t="s">
        <v>262</v>
      </c>
      <c r="D46" s="26">
        <v>45519</v>
      </c>
      <c r="E46" t="s">
        <v>263</v>
      </c>
    </row>
    <row r="47" spans="1:5">
      <c r="A47">
        <v>46</v>
      </c>
      <c r="B47" t="s">
        <v>264</v>
      </c>
      <c r="C47" t="s">
        <v>265</v>
      </c>
      <c r="D47" s="26">
        <v>45676</v>
      </c>
      <c r="E47" t="s">
        <v>266</v>
      </c>
    </row>
    <row r="48" spans="1:5">
      <c r="A48">
        <v>47</v>
      </c>
      <c r="B48" t="s">
        <v>267</v>
      </c>
      <c r="C48" t="s">
        <v>268</v>
      </c>
      <c r="D48" s="26">
        <v>45319</v>
      </c>
      <c r="E48" t="s">
        <v>269</v>
      </c>
    </row>
    <row r="49" spans="1:5">
      <c r="A49">
        <v>48</v>
      </c>
      <c r="B49" t="s">
        <v>270</v>
      </c>
      <c r="C49" t="s">
        <v>271</v>
      </c>
      <c r="D49" s="26">
        <v>45749</v>
      </c>
      <c r="E49" t="s">
        <v>272</v>
      </c>
    </row>
    <row r="50" spans="1:5">
      <c r="A50">
        <v>49</v>
      </c>
      <c r="B50" t="s">
        <v>273</v>
      </c>
      <c r="C50" t="s">
        <v>274</v>
      </c>
      <c r="D50" s="26">
        <v>45803</v>
      </c>
      <c r="E50" t="s">
        <v>275</v>
      </c>
    </row>
    <row r="51" spans="1:5">
      <c r="A51">
        <v>50</v>
      </c>
      <c r="B51" t="s">
        <v>276</v>
      </c>
      <c r="C51" t="s">
        <v>277</v>
      </c>
      <c r="D51" s="26">
        <v>45556</v>
      </c>
      <c r="E51" t="s">
        <v>278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cols>
    <col min="4" max="4" width="20.7777777777778" customWidth="1"/>
  </cols>
  <sheetData>
    <row r="1" spans="1:4">
      <c r="A1" s="4" t="s">
        <v>279</v>
      </c>
      <c r="B1" s="4" t="s">
        <v>280</v>
      </c>
      <c r="C1" s="4" t="s">
        <v>281</v>
      </c>
      <c r="D1" s="4" t="s">
        <v>282</v>
      </c>
    </row>
    <row r="2" spans="1:4">
      <c r="A2">
        <v>1</v>
      </c>
      <c r="B2">
        <v>16</v>
      </c>
      <c r="C2">
        <v>47</v>
      </c>
      <c r="D2" s="26">
        <v>45756</v>
      </c>
    </row>
    <row r="3" spans="1:4">
      <c r="A3">
        <v>2</v>
      </c>
      <c r="B3">
        <v>43</v>
      </c>
      <c r="C3">
        <v>3</v>
      </c>
      <c r="D3" s="26">
        <v>45659</v>
      </c>
    </row>
    <row r="4" spans="1:4">
      <c r="A4">
        <v>3</v>
      </c>
      <c r="B4">
        <v>5</v>
      </c>
      <c r="C4">
        <v>28</v>
      </c>
      <c r="D4" s="26">
        <v>45802</v>
      </c>
    </row>
    <row r="5" spans="1:4">
      <c r="A5">
        <v>4</v>
      </c>
      <c r="B5">
        <v>2</v>
      </c>
      <c r="C5">
        <v>11</v>
      </c>
      <c r="D5" s="26">
        <v>45800</v>
      </c>
    </row>
    <row r="6" spans="1:4">
      <c r="A6">
        <v>5</v>
      </c>
      <c r="B6">
        <v>38</v>
      </c>
      <c r="C6">
        <v>46</v>
      </c>
      <c r="D6" s="26">
        <v>45390</v>
      </c>
    </row>
    <row r="7" spans="1:4">
      <c r="A7">
        <v>6</v>
      </c>
      <c r="B7">
        <v>15</v>
      </c>
      <c r="C7">
        <v>7</v>
      </c>
      <c r="D7" s="26">
        <v>45573</v>
      </c>
    </row>
    <row r="8" spans="1:4">
      <c r="A8">
        <v>7</v>
      </c>
      <c r="B8">
        <v>43</v>
      </c>
      <c r="C8">
        <v>23</v>
      </c>
      <c r="D8" s="26">
        <v>45498</v>
      </c>
    </row>
    <row r="9" spans="1:4">
      <c r="A9">
        <v>8</v>
      </c>
      <c r="B9">
        <v>21</v>
      </c>
      <c r="C9">
        <v>2</v>
      </c>
      <c r="D9" s="26">
        <v>45783</v>
      </c>
    </row>
    <row r="10" spans="1:4">
      <c r="A10">
        <v>9</v>
      </c>
      <c r="B10">
        <v>38</v>
      </c>
      <c r="C10">
        <v>18</v>
      </c>
      <c r="D10" s="26">
        <v>45441</v>
      </c>
    </row>
    <row r="11" spans="1:4">
      <c r="A11">
        <v>10</v>
      </c>
      <c r="B11">
        <v>30</v>
      </c>
      <c r="C11">
        <v>41</v>
      </c>
      <c r="D11" s="26">
        <v>45335</v>
      </c>
    </row>
    <row r="12" spans="1:4">
      <c r="A12">
        <v>11</v>
      </c>
      <c r="B12">
        <v>24</v>
      </c>
      <c r="C12">
        <v>37</v>
      </c>
      <c r="D12" s="26">
        <v>45219</v>
      </c>
    </row>
    <row r="13" spans="1:4">
      <c r="A13">
        <v>12</v>
      </c>
      <c r="B13">
        <v>13</v>
      </c>
      <c r="C13">
        <v>37</v>
      </c>
      <c r="D13" s="26">
        <v>45769</v>
      </c>
    </row>
    <row r="14" spans="1:4">
      <c r="A14">
        <v>13</v>
      </c>
      <c r="B14">
        <v>31</v>
      </c>
      <c r="C14">
        <v>24</v>
      </c>
      <c r="D14" s="26">
        <v>45296</v>
      </c>
    </row>
    <row r="15" spans="1:4">
      <c r="A15">
        <v>14</v>
      </c>
      <c r="B15">
        <v>30</v>
      </c>
      <c r="C15">
        <v>13</v>
      </c>
      <c r="D15" s="26">
        <v>45456</v>
      </c>
    </row>
    <row r="16" spans="1:4">
      <c r="A16">
        <v>15</v>
      </c>
      <c r="B16">
        <v>15</v>
      </c>
      <c r="C16">
        <v>9</v>
      </c>
      <c r="D16" s="26">
        <v>45777</v>
      </c>
    </row>
    <row r="17" spans="1:4">
      <c r="A17">
        <v>16</v>
      </c>
      <c r="B17">
        <v>10</v>
      </c>
      <c r="C17">
        <v>31</v>
      </c>
      <c r="D17" s="26">
        <v>45303</v>
      </c>
    </row>
    <row r="18" spans="1:4">
      <c r="A18">
        <v>17</v>
      </c>
      <c r="B18">
        <v>30</v>
      </c>
      <c r="C18">
        <v>43</v>
      </c>
      <c r="D18" s="26">
        <v>45203</v>
      </c>
    </row>
    <row r="19" spans="1:4">
      <c r="A19">
        <v>18</v>
      </c>
      <c r="B19">
        <v>20</v>
      </c>
      <c r="C19">
        <v>8</v>
      </c>
      <c r="D19" s="26">
        <v>45697</v>
      </c>
    </row>
    <row r="20" spans="1:4">
      <c r="A20">
        <v>19</v>
      </c>
      <c r="B20">
        <v>46</v>
      </c>
      <c r="C20">
        <v>36</v>
      </c>
      <c r="D20" s="26">
        <v>45324</v>
      </c>
    </row>
    <row r="21" spans="1:4">
      <c r="A21">
        <v>20</v>
      </c>
      <c r="B21">
        <v>48</v>
      </c>
      <c r="C21">
        <v>42</v>
      </c>
      <c r="D21" s="26">
        <v>45709</v>
      </c>
    </row>
    <row r="22" spans="1:4">
      <c r="A22">
        <v>21</v>
      </c>
      <c r="B22">
        <v>36</v>
      </c>
      <c r="C22">
        <v>34</v>
      </c>
      <c r="D22" s="26">
        <v>45427</v>
      </c>
    </row>
    <row r="23" spans="1:4">
      <c r="A23">
        <v>22</v>
      </c>
      <c r="B23">
        <v>2</v>
      </c>
      <c r="C23">
        <v>29</v>
      </c>
      <c r="D23" s="26">
        <v>45499</v>
      </c>
    </row>
    <row r="24" spans="1:4">
      <c r="A24">
        <v>23</v>
      </c>
      <c r="B24">
        <v>22</v>
      </c>
      <c r="C24">
        <v>25</v>
      </c>
      <c r="D24" s="26">
        <v>45334</v>
      </c>
    </row>
    <row r="25" spans="1:4">
      <c r="A25">
        <v>24</v>
      </c>
      <c r="B25">
        <v>15</v>
      </c>
      <c r="C25">
        <v>50</v>
      </c>
      <c r="D25" s="26">
        <v>45567</v>
      </c>
    </row>
    <row r="26" spans="1:4">
      <c r="A26">
        <v>25</v>
      </c>
      <c r="B26">
        <v>27</v>
      </c>
      <c r="C26">
        <v>15</v>
      </c>
      <c r="D26" s="26">
        <v>45434</v>
      </c>
    </row>
    <row r="27" spans="1:4">
      <c r="A27">
        <v>26</v>
      </c>
      <c r="B27">
        <v>29</v>
      </c>
      <c r="C27">
        <v>49</v>
      </c>
      <c r="D27" s="26">
        <v>45780</v>
      </c>
    </row>
    <row r="28" spans="1:4">
      <c r="A28">
        <v>27</v>
      </c>
      <c r="B28">
        <v>1</v>
      </c>
      <c r="C28">
        <v>5</v>
      </c>
      <c r="D28" s="26">
        <v>45278</v>
      </c>
    </row>
    <row r="29" spans="1:4">
      <c r="A29">
        <v>28</v>
      </c>
      <c r="B29">
        <v>41</v>
      </c>
      <c r="C29">
        <v>32</v>
      </c>
      <c r="D29" s="26">
        <v>45566</v>
      </c>
    </row>
    <row r="30" spans="1:4">
      <c r="A30">
        <v>29</v>
      </c>
      <c r="B30">
        <v>33</v>
      </c>
      <c r="C30">
        <v>28</v>
      </c>
      <c r="D30" s="26">
        <v>45626</v>
      </c>
    </row>
    <row r="31" spans="1:4">
      <c r="A31">
        <v>30</v>
      </c>
      <c r="B31">
        <v>5</v>
      </c>
      <c r="C31">
        <v>48</v>
      </c>
      <c r="D31" s="26">
        <v>45220</v>
      </c>
    </row>
    <row r="32" spans="1:4">
      <c r="A32">
        <v>31</v>
      </c>
      <c r="B32">
        <v>38</v>
      </c>
      <c r="C32">
        <v>27</v>
      </c>
      <c r="D32" s="26">
        <v>45871</v>
      </c>
    </row>
    <row r="33" spans="1:4">
      <c r="A33">
        <v>32</v>
      </c>
      <c r="B33">
        <v>17</v>
      </c>
      <c r="C33">
        <v>4</v>
      </c>
      <c r="D33" s="26">
        <v>45212</v>
      </c>
    </row>
    <row r="34" spans="1:4">
      <c r="A34">
        <v>33</v>
      </c>
      <c r="B34">
        <v>18</v>
      </c>
      <c r="C34">
        <v>2</v>
      </c>
      <c r="D34" s="26">
        <v>45733</v>
      </c>
    </row>
    <row r="35" spans="1:4">
      <c r="A35">
        <v>34</v>
      </c>
      <c r="B35">
        <v>11</v>
      </c>
      <c r="C35">
        <v>18</v>
      </c>
      <c r="D35" s="26">
        <v>45447</v>
      </c>
    </row>
    <row r="36" spans="1:4">
      <c r="A36">
        <v>35</v>
      </c>
      <c r="B36">
        <v>48</v>
      </c>
      <c r="C36">
        <v>12</v>
      </c>
      <c r="D36" s="26">
        <v>45435</v>
      </c>
    </row>
    <row r="37" spans="1:4">
      <c r="A37">
        <v>36</v>
      </c>
      <c r="B37">
        <v>20</v>
      </c>
      <c r="C37">
        <v>14</v>
      </c>
      <c r="D37" s="26">
        <v>45197</v>
      </c>
    </row>
    <row r="38" spans="1:4">
      <c r="A38">
        <v>37</v>
      </c>
      <c r="B38">
        <v>37</v>
      </c>
      <c r="C38">
        <v>9</v>
      </c>
      <c r="D38" s="26">
        <v>45478</v>
      </c>
    </row>
    <row r="39" spans="1:4">
      <c r="A39">
        <v>38</v>
      </c>
      <c r="B39">
        <v>29</v>
      </c>
      <c r="C39">
        <v>26</v>
      </c>
      <c r="D39" s="26">
        <v>45695</v>
      </c>
    </row>
    <row r="40" spans="1:4">
      <c r="A40">
        <v>39</v>
      </c>
      <c r="B40">
        <v>21</v>
      </c>
      <c r="C40">
        <v>22</v>
      </c>
      <c r="D40" s="26">
        <v>45828</v>
      </c>
    </row>
    <row r="41" spans="1:4">
      <c r="A41">
        <v>40</v>
      </c>
      <c r="B41">
        <v>50</v>
      </c>
      <c r="C41">
        <v>3</v>
      </c>
      <c r="D41" s="26">
        <v>45325</v>
      </c>
    </row>
    <row r="42" spans="1:4">
      <c r="A42">
        <v>41</v>
      </c>
      <c r="B42">
        <v>10</v>
      </c>
      <c r="C42">
        <v>3</v>
      </c>
      <c r="D42" s="26">
        <v>45592</v>
      </c>
    </row>
    <row r="43" spans="1:4">
      <c r="A43">
        <v>42</v>
      </c>
      <c r="B43">
        <v>13</v>
      </c>
      <c r="C43">
        <v>2</v>
      </c>
      <c r="D43" s="26">
        <v>45410</v>
      </c>
    </row>
    <row r="44" spans="1:4">
      <c r="A44">
        <v>43</v>
      </c>
      <c r="B44">
        <v>12</v>
      </c>
      <c r="C44">
        <v>37</v>
      </c>
      <c r="D44" s="26">
        <v>45577</v>
      </c>
    </row>
    <row r="45" spans="1:4">
      <c r="A45">
        <v>44</v>
      </c>
      <c r="B45">
        <v>1</v>
      </c>
      <c r="C45">
        <v>18</v>
      </c>
      <c r="D45" s="26">
        <v>45241</v>
      </c>
    </row>
    <row r="46" spans="1:4">
      <c r="A46">
        <v>45</v>
      </c>
      <c r="B46">
        <v>39</v>
      </c>
      <c r="C46">
        <v>11</v>
      </c>
      <c r="D46" s="26">
        <v>45727</v>
      </c>
    </row>
    <row r="47" spans="1:4">
      <c r="A47">
        <v>46</v>
      </c>
      <c r="B47">
        <v>22</v>
      </c>
      <c r="C47">
        <v>4</v>
      </c>
      <c r="D47" s="26">
        <v>45478</v>
      </c>
    </row>
    <row r="48" spans="1:4">
      <c r="A48">
        <v>47</v>
      </c>
      <c r="B48">
        <v>24</v>
      </c>
      <c r="C48">
        <v>32</v>
      </c>
      <c r="D48" s="26">
        <v>45511</v>
      </c>
    </row>
    <row r="49" spans="1:4">
      <c r="A49">
        <v>48</v>
      </c>
      <c r="B49">
        <v>3</v>
      </c>
      <c r="C49">
        <v>9</v>
      </c>
      <c r="D49" s="26">
        <v>45835</v>
      </c>
    </row>
    <row r="50" spans="1:4">
      <c r="A50">
        <v>49</v>
      </c>
      <c r="B50">
        <v>28</v>
      </c>
      <c r="C50">
        <v>29</v>
      </c>
      <c r="D50" s="26">
        <v>45674</v>
      </c>
    </row>
    <row r="51" spans="1:4">
      <c r="A51">
        <v>50</v>
      </c>
      <c r="B51">
        <v>30</v>
      </c>
      <c r="C51">
        <v>26</v>
      </c>
      <c r="D51" s="26">
        <v>45507</v>
      </c>
    </row>
    <row r="52" spans="1:4">
      <c r="A52">
        <v>51</v>
      </c>
      <c r="B52">
        <v>5</v>
      </c>
      <c r="C52">
        <v>36</v>
      </c>
      <c r="D52" s="26">
        <v>45259</v>
      </c>
    </row>
    <row r="53" spans="1:4">
      <c r="A53">
        <v>52</v>
      </c>
      <c r="B53">
        <v>8</v>
      </c>
      <c r="C53">
        <v>35</v>
      </c>
      <c r="D53" s="26">
        <v>45363</v>
      </c>
    </row>
    <row r="54" spans="1:4">
      <c r="A54">
        <v>53</v>
      </c>
      <c r="B54">
        <v>43</v>
      </c>
      <c r="C54">
        <v>29</v>
      </c>
      <c r="D54" s="26">
        <v>45432</v>
      </c>
    </row>
    <row r="55" spans="1:4">
      <c r="A55">
        <v>54</v>
      </c>
      <c r="B55">
        <v>15</v>
      </c>
      <c r="C55">
        <v>22</v>
      </c>
      <c r="D55" s="26">
        <v>45856</v>
      </c>
    </row>
    <row r="56" spans="1:4">
      <c r="A56">
        <v>55</v>
      </c>
      <c r="B56">
        <v>41</v>
      </c>
      <c r="C56">
        <v>50</v>
      </c>
      <c r="D56" s="26">
        <v>45386</v>
      </c>
    </row>
    <row r="57" spans="1:4">
      <c r="A57">
        <v>56</v>
      </c>
      <c r="B57">
        <v>13</v>
      </c>
      <c r="C57">
        <v>43</v>
      </c>
      <c r="D57" s="26">
        <v>45744</v>
      </c>
    </row>
    <row r="58" spans="1:4">
      <c r="A58">
        <v>57</v>
      </c>
      <c r="B58">
        <v>15</v>
      </c>
      <c r="C58">
        <v>40</v>
      </c>
      <c r="D58" s="26">
        <v>45221</v>
      </c>
    </row>
    <row r="59" spans="1:4">
      <c r="A59">
        <v>58</v>
      </c>
      <c r="B59">
        <v>42</v>
      </c>
      <c r="C59">
        <v>3</v>
      </c>
      <c r="D59" s="26">
        <v>45587</v>
      </c>
    </row>
    <row r="60" spans="1:4">
      <c r="A60">
        <v>59</v>
      </c>
      <c r="B60">
        <v>36</v>
      </c>
      <c r="C60">
        <v>35</v>
      </c>
      <c r="D60" s="26">
        <v>45650</v>
      </c>
    </row>
    <row r="61" spans="1:4">
      <c r="A61">
        <v>60</v>
      </c>
      <c r="B61">
        <v>9</v>
      </c>
      <c r="C61">
        <v>18</v>
      </c>
      <c r="D61" s="26">
        <v>45716</v>
      </c>
    </row>
    <row r="62" spans="1:4">
      <c r="A62">
        <v>61</v>
      </c>
      <c r="B62">
        <v>5</v>
      </c>
      <c r="C62">
        <v>38</v>
      </c>
      <c r="D62" s="26">
        <v>45908</v>
      </c>
    </row>
    <row r="63" spans="1:4">
      <c r="A63">
        <v>62</v>
      </c>
      <c r="B63">
        <v>6</v>
      </c>
      <c r="C63">
        <v>3</v>
      </c>
      <c r="D63" s="26">
        <v>45380</v>
      </c>
    </row>
    <row r="64" spans="1:4">
      <c r="A64">
        <v>63</v>
      </c>
      <c r="B64">
        <v>2</v>
      </c>
      <c r="C64">
        <v>30</v>
      </c>
      <c r="D64" s="26">
        <v>45892</v>
      </c>
    </row>
    <row r="65" spans="1:4">
      <c r="A65">
        <v>64</v>
      </c>
      <c r="B65">
        <v>26</v>
      </c>
      <c r="C65">
        <v>33</v>
      </c>
      <c r="D65" s="26">
        <v>45364</v>
      </c>
    </row>
    <row r="66" spans="1:4">
      <c r="A66">
        <v>65</v>
      </c>
      <c r="B66">
        <v>4</v>
      </c>
      <c r="C66">
        <v>12</v>
      </c>
      <c r="D66" s="26">
        <v>45764</v>
      </c>
    </row>
    <row r="67" spans="1:4">
      <c r="A67">
        <v>66</v>
      </c>
      <c r="B67">
        <v>7</v>
      </c>
      <c r="C67">
        <v>29</v>
      </c>
      <c r="D67" s="26">
        <v>45534</v>
      </c>
    </row>
    <row r="68" spans="1:4">
      <c r="A68">
        <v>67</v>
      </c>
      <c r="B68">
        <v>17</v>
      </c>
      <c r="C68">
        <v>15</v>
      </c>
      <c r="D68" s="26">
        <v>45328</v>
      </c>
    </row>
    <row r="69" spans="1:4">
      <c r="A69">
        <v>68</v>
      </c>
      <c r="B69">
        <v>34</v>
      </c>
      <c r="C69">
        <v>40</v>
      </c>
      <c r="D69" s="26">
        <v>45327</v>
      </c>
    </row>
    <row r="70" spans="1:4">
      <c r="A70">
        <v>69</v>
      </c>
      <c r="B70">
        <v>35</v>
      </c>
      <c r="C70">
        <v>38</v>
      </c>
      <c r="D70" s="26">
        <v>45915</v>
      </c>
    </row>
    <row r="71" spans="1:4">
      <c r="A71">
        <v>70</v>
      </c>
      <c r="B71">
        <v>44</v>
      </c>
      <c r="C71">
        <v>50</v>
      </c>
      <c r="D71" s="26">
        <v>45443</v>
      </c>
    </row>
    <row r="72" spans="1:4">
      <c r="A72">
        <v>71</v>
      </c>
      <c r="B72">
        <v>7</v>
      </c>
      <c r="C72">
        <v>40</v>
      </c>
      <c r="D72" s="26">
        <v>45241</v>
      </c>
    </row>
    <row r="73" spans="1:4">
      <c r="A73">
        <v>72</v>
      </c>
      <c r="B73">
        <v>42</v>
      </c>
      <c r="C73">
        <v>7</v>
      </c>
      <c r="D73" s="26">
        <v>45242</v>
      </c>
    </row>
    <row r="74" spans="1:4">
      <c r="A74">
        <v>73</v>
      </c>
      <c r="B74">
        <v>18</v>
      </c>
      <c r="C74">
        <v>49</v>
      </c>
      <c r="D74" s="26">
        <v>45692</v>
      </c>
    </row>
    <row r="75" spans="1:4">
      <c r="A75">
        <v>74</v>
      </c>
      <c r="B75">
        <v>32</v>
      </c>
      <c r="C75">
        <v>35</v>
      </c>
      <c r="D75" s="26">
        <v>45341</v>
      </c>
    </row>
    <row r="76" spans="1:4">
      <c r="A76">
        <v>75</v>
      </c>
      <c r="B76">
        <v>7</v>
      </c>
      <c r="C76">
        <v>24</v>
      </c>
      <c r="D76" s="26">
        <v>45884</v>
      </c>
    </row>
    <row r="77" spans="1:4">
      <c r="A77">
        <v>76</v>
      </c>
      <c r="B77">
        <v>13</v>
      </c>
      <c r="C77">
        <v>49</v>
      </c>
      <c r="D77" s="26">
        <v>45703</v>
      </c>
    </row>
    <row r="78" spans="1:4">
      <c r="A78">
        <v>77</v>
      </c>
      <c r="B78">
        <v>45</v>
      </c>
      <c r="C78">
        <v>26</v>
      </c>
      <c r="D78" s="26">
        <v>45416</v>
      </c>
    </row>
    <row r="79" spans="1:4">
      <c r="A79">
        <v>78</v>
      </c>
      <c r="B79">
        <v>19</v>
      </c>
      <c r="C79">
        <v>7</v>
      </c>
      <c r="D79" s="26">
        <v>45475</v>
      </c>
    </row>
    <row r="80" spans="1:4">
      <c r="A80">
        <v>79</v>
      </c>
      <c r="B80">
        <v>8</v>
      </c>
      <c r="C80">
        <v>16</v>
      </c>
      <c r="D80" s="26">
        <v>45886</v>
      </c>
    </row>
    <row r="81" spans="1:4">
      <c r="A81">
        <v>80</v>
      </c>
      <c r="B81">
        <v>37</v>
      </c>
      <c r="C81">
        <v>49</v>
      </c>
      <c r="D81" s="26">
        <v>45425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$1:A$1048576"/>
    </sheetView>
  </sheetViews>
  <sheetFormatPr defaultColWidth="9" defaultRowHeight="14.4" outlineLevelCol="3"/>
  <cols>
    <col min="4" max="4" width="16.7777777777778" customWidth="1"/>
  </cols>
  <sheetData>
    <row r="1" spans="1:4">
      <c r="A1" s="4" t="s">
        <v>283</v>
      </c>
      <c r="B1" s="4" t="s">
        <v>2</v>
      </c>
      <c r="C1" s="4" t="s">
        <v>1</v>
      </c>
      <c r="D1" s="4" t="s">
        <v>284</v>
      </c>
    </row>
    <row r="2" spans="1:4">
      <c r="A2">
        <v>1</v>
      </c>
      <c r="B2">
        <v>30</v>
      </c>
      <c r="C2">
        <v>33</v>
      </c>
      <c r="D2" s="26">
        <v>45639</v>
      </c>
    </row>
    <row r="3" spans="1:4">
      <c r="A3">
        <v>2</v>
      </c>
      <c r="B3">
        <v>20</v>
      </c>
      <c r="C3">
        <v>7</v>
      </c>
      <c r="D3" s="26">
        <v>45558</v>
      </c>
    </row>
    <row r="4" spans="1:4">
      <c r="A4">
        <v>3</v>
      </c>
      <c r="B4">
        <v>10</v>
      </c>
      <c r="C4">
        <v>78</v>
      </c>
      <c r="D4" s="26">
        <v>45606</v>
      </c>
    </row>
    <row r="5" spans="1:4">
      <c r="A5">
        <v>4</v>
      </c>
      <c r="B5">
        <v>39</v>
      </c>
      <c r="C5">
        <v>63</v>
      </c>
      <c r="D5" s="26">
        <v>45819</v>
      </c>
    </row>
    <row r="6" spans="1:4">
      <c r="A6">
        <v>5</v>
      </c>
      <c r="B6">
        <v>17</v>
      </c>
      <c r="C6">
        <v>27</v>
      </c>
      <c r="D6" s="26">
        <v>45575</v>
      </c>
    </row>
    <row r="7" spans="1:4">
      <c r="A7">
        <v>6</v>
      </c>
      <c r="B7">
        <v>20</v>
      </c>
      <c r="C7">
        <v>87</v>
      </c>
      <c r="D7" s="26">
        <v>45567</v>
      </c>
    </row>
    <row r="8" spans="1:4">
      <c r="A8">
        <v>7</v>
      </c>
      <c r="B8">
        <v>47</v>
      </c>
      <c r="C8">
        <v>65</v>
      </c>
      <c r="D8" s="26">
        <v>45882</v>
      </c>
    </row>
    <row r="9" spans="1:4">
      <c r="A9">
        <v>8</v>
      </c>
      <c r="B9">
        <v>35</v>
      </c>
      <c r="C9">
        <v>90</v>
      </c>
      <c r="D9" s="26">
        <v>45652</v>
      </c>
    </row>
    <row r="10" spans="1:4">
      <c r="A10">
        <v>9</v>
      </c>
      <c r="B10">
        <v>22</v>
      </c>
      <c r="C10">
        <v>63</v>
      </c>
      <c r="D10" s="26">
        <v>45801</v>
      </c>
    </row>
    <row r="11" spans="1:4">
      <c r="A11">
        <v>10</v>
      </c>
      <c r="B11">
        <v>47</v>
      </c>
      <c r="C11">
        <v>96</v>
      </c>
      <c r="D11" s="26">
        <v>45879</v>
      </c>
    </row>
    <row r="12" spans="1:4">
      <c r="A12">
        <v>11</v>
      </c>
      <c r="B12">
        <v>6</v>
      </c>
      <c r="C12">
        <v>95</v>
      </c>
      <c r="D12" s="26">
        <v>45698</v>
      </c>
    </row>
    <row r="13" spans="1:4">
      <c r="A13">
        <v>12</v>
      </c>
      <c r="B13">
        <v>22</v>
      </c>
      <c r="C13">
        <v>50</v>
      </c>
      <c r="D13" s="26">
        <v>45911</v>
      </c>
    </row>
    <row r="14" spans="1:4">
      <c r="A14">
        <v>13</v>
      </c>
      <c r="B14">
        <v>14</v>
      </c>
      <c r="C14">
        <v>75</v>
      </c>
      <c r="D14" s="26">
        <v>45625</v>
      </c>
    </row>
    <row r="15" spans="1:4">
      <c r="A15">
        <v>14</v>
      </c>
      <c r="B15">
        <v>39</v>
      </c>
      <c r="C15">
        <v>2</v>
      </c>
      <c r="D15" s="26">
        <v>45683</v>
      </c>
    </row>
    <row r="16" spans="1:4">
      <c r="A16">
        <v>15</v>
      </c>
      <c r="B16">
        <v>50</v>
      </c>
      <c r="C16">
        <v>73</v>
      </c>
      <c r="D16" s="26">
        <v>45772</v>
      </c>
    </row>
    <row r="17" spans="1:4">
      <c r="A17">
        <v>16</v>
      </c>
      <c r="B17">
        <v>7</v>
      </c>
      <c r="C17">
        <v>99</v>
      </c>
      <c r="D17" s="26">
        <v>45780</v>
      </c>
    </row>
    <row r="18" spans="1:4">
      <c r="A18">
        <v>17</v>
      </c>
      <c r="B18">
        <v>44</v>
      </c>
      <c r="C18">
        <v>39</v>
      </c>
      <c r="D18" s="26">
        <v>45654</v>
      </c>
    </row>
    <row r="19" spans="1:4">
      <c r="A19">
        <v>18</v>
      </c>
      <c r="B19">
        <v>24</v>
      </c>
      <c r="C19">
        <v>34</v>
      </c>
      <c r="D19" s="26">
        <v>45696</v>
      </c>
    </row>
    <row r="20" spans="1:4">
      <c r="A20">
        <v>19</v>
      </c>
      <c r="B20">
        <v>25</v>
      </c>
      <c r="C20">
        <v>51</v>
      </c>
      <c r="D20" s="26">
        <v>45858</v>
      </c>
    </row>
    <row r="21" spans="1:4">
      <c r="A21">
        <v>20</v>
      </c>
      <c r="B21">
        <v>26</v>
      </c>
      <c r="C21">
        <v>75</v>
      </c>
      <c r="D21" s="26">
        <v>45675</v>
      </c>
    </row>
    <row r="22" spans="1:4">
      <c r="A22">
        <v>21</v>
      </c>
      <c r="B22">
        <v>13</v>
      </c>
      <c r="C22">
        <v>14</v>
      </c>
      <c r="D22" s="26">
        <v>45637</v>
      </c>
    </row>
    <row r="23" spans="1:4">
      <c r="A23">
        <v>22</v>
      </c>
      <c r="B23">
        <v>10</v>
      </c>
      <c r="C23">
        <v>30</v>
      </c>
      <c r="D23" s="26">
        <v>45827</v>
      </c>
    </row>
    <row r="24" spans="1:4">
      <c r="A24">
        <v>23</v>
      </c>
      <c r="B24">
        <v>1</v>
      </c>
      <c r="C24">
        <v>76</v>
      </c>
      <c r="D24" s="26">
        <v>45600</v>
      </c>
    </row>
    <row r="25" spans="1:4">
      <c r="A25">
        <v>24</v>
      </c>
      <c r="B25">
        <v>5</v>
      </c>
      <c r="C25">
        <v>92</v>
      </c>
      <c r="D25" s="26">
        <v>45671</v>
      </c>
    </row>
    <row r="26" spans="1:4">
      <c r="A26">
        <v>25</v>
      </c>
      <c r="B26">
        <v>50</v>
      </c>
      <c r="C26">
        <v>73</v>
      </c>
      <c r="D26" s="26">
        <v>45740</v>
      </c>
    </row>
    <row r="27" spans="1:4">
      <c r="A27">
        <v>26</v>
      </c>
      <c r="B27">
        <v>38</v>
      </c>
      <c r="C27">
        <v>96</v>
      </c>
      <c r="D27" s="26">
        <v>45887</v>
      </c>
    </row>
    <row r="28" spans="1:4">
      <c r="A28">
        <v>27</v>
      </c>
      <c r="B28">
        <v>38</v>
      </c>
      <c r="C28">
        <v>78</v>
      </c>
      <c r="D28" s="26">
        <v>45618</v>
      </c>
    </row>
    <row r="29" spans="1:4">
      <c r="A29">
        <v>28</v>
      </c>
      <c r="B29">
        <v>40</v>
      </c>
      <c r="C29">
        <v>62</v>
      </c>
      <c r="D29" s="26">
        <v>45691</v>
      </c>
    </row>
    <row r="30" spans="1:4">
      <c r="A30">
        <v>29</v>
      </c>
      <c r="B30">
        <v>4</v>
      </c>
      <c r="C30">
        <v>39</v>
      </c>
      <c r="D30" s="26">
        <v>45880</v>
      </c>
    </row>
    <row r="31" spans="1:4">
      <c r="A31">
        <v>30</v>
      </c>
      <c r="B31">
        <v>41</v>
      </c>
      <c r="C31">
        <v>19</v>
      </c>
      <c r="D31" s="26">
        <v>45809</v>
      </c>
    </row>
    <row r="32" spans="1:4">
      <c r="A32">
        <v>31</v>
      </c>
      <c r="B32">
        <v>13</v>
      </c>
      <c r="C32">
        <v>16</v>
      </c>
      <c r="D32" s="26">
        <v>45636</v>
      </c>
    </row>
    <row r="33" spans="1:4">
      <c r="A33">
        <v>32</v>
      </c>
      <c r="B33">
        <v>20</v>
      </c>
      <c r="C33">
        <v>81</v>
      </c>
      <c r="D33" s="26">
        <v>45779</v>
      </c>
    </row>
    <row r="34" spans="1:4">
      <c r="A34">
        <v>33</v>
      </c>
      <c r="B34">
        <v>4</v>
      </c>
      <c r="C34">
        <v>42</v>
      </c>
      <c r="D34" s="26">
        <v>45735</v>
      </c>
    </row>
    <row r="35" spans="1:4">
      <c r="A35">
        <v>34</v>
      </c>
      <c r="B35">
        <v>37</v>
      </c>
      <c r="C35">
        <v>31</v>
      </c>
      <c r="D35" s="26">
        <v>45894</v>
      </c>
    </row>
    <row r="36" spans="1:4">
      <c r="A36">
        <v>35</v>
      </c>
      <c r="B36">
        <v>33</v>
      </c>
      <c r="C36">
        <v>14</v>
      </c>
      <c r="D36" s="26">
        <v>45633</v>
      </c>
    </row>
    <row r="37" spans="1:4">
      <c r="A37">
        <v>36</v>
      </c>
      <c r="B37">
        <v>10</v>
      </c>
      <c r="C37">
        <v>80</v>
      </c>
      <c r="D37" s="26">
        <v>45777</v>
      </c>
    </row>
    <row r="38" spans="1:4">
      <c r="A38">
        <v>37</v>
      </c>
      <c r="B38">
        <v>42</v>
      </c>
      <c r="C38">
        <v>51</v>
      </c>
      <c r="D38" s="26">
        <v>45914</v>
      </c>
    </row>
    <row r="39" spans="1:4">
      <c r="A39">
        <v>38</v>
      </c>
      <c r="B39">
        <v>48</v>
      </c>
      <c r="C39">
        <v>12</v>
      </c>
      <c r="D39" s="26">
        <v>45669</v>
      </c>
    </row>
    <row r="40" spans="1:4">
      <c r="A40">
        <v>39</v>
      </c>
      <c r="B40">
        <v>42</v>
      </c>
      <c r="C40">
        <v>21</v>
      </c>
      <c r="D40" s="26">
        <v>45895</v>
      </c>
    </row>
    <row r="41" spans="1:4">
      <c r="A41">
        <v>40</v>
      </c>
      <c r="B41">
        <v>46</v>
      </c>
      <c r="C41">
        <v>73</v>
      </c>
      <c r="D41" s="26">
        <v>45591</v>
      </c>
    </row>
    <row r="42" spans="1:4">
      <c r="A42">
        <v>41</v>
      </c>
      <c r="B42">
        <v>40</v>
      </c>
      <c r="C42">
        <v>31</v>
      </c>
      <c r="D42" s="26">
        <v>45560</v>
      </c>
    </row>
    <row r="43" spans="1:4">
      <c r="A43">
        <v>42</v>
      </c>
      <c r="B43">
        <v>15</v>
      </c>
      <c r="C43">
        <v>63</v>
      </c>
      <c r="D43" s="26">
        <v>45796</v>
      </c>
    </row>
    <row r="44" spans="1:4">
      <c r="A44">
        <v>43</v>
      </c>
      <c r="B44">
        <v>45</v>
      </c>
      <c r="C44">
        <v>7</v>
      </c>
      <c r="D44" s="26">
        <v>45851</v>
      </c>
    </row>
    <row r="45" spans="1:4">
      <c r="A45">
        <v>44</v>
      </c>
      <c r="B45">
        <v>28</v>
      </c>
      <c r="C45">
        <v>28</v>
      </c>
      <c r="D45" s="26">
        <v>45565</v>
      </c>
    </row>
    <row r="46" spans="1:4">
      <c r="A46">
        <v>45</v>
      </c>
      <c r="B46">
        <v>27</v>
      </c>
      <c r="C46">
        <v>63</v>
      </c>
      <c r="D46" s="26">
        <v>45624</v>
      </c>
    </row>
    <row r="47" spans="1:4">
      <c r="A47">
        <v>46</v>
      </c>
      <c r="B47">
        <v>14</v>
      </c>
      <c r="C47">
        <v>37</v>
      </c>
      <c r="D47" s="26">
        <v>45782</v>
      </c>
    </row>
    <row r="48" spans="1:4">
      <c r="A48">
        <v>47</v>
      </c>
      <c r="B48">
        <v>3</v>
      </c>
      <c r="C48">
        <v>15</v>
      </c>
      <c r="D48" s="26">
        <v>45573</v>
      </c>
    </row>
    <row r="49" spans="1:4">
      <c r="A49">
        <v>48</v>
      </c>
      <c r="B49">
        <v>7</v>
      </c>
      <c r="C49">
        <v>70</v>
      </c>
      <c r="D49" s="26">
        <v>45734</v>
      </c>
    </row>
    <row r="50" spans="1:4">
      <c r="A50">
        <v>49</v>
      </c>
      <c r="B50">
        <v>13</v>
      </c>
      <c r="C50">
        <v>80</v>
      </c>
      <c r="D50" s="26">
        <v>45594</v>
      </c>
    </row>
    <row r="51" spans="1:4">
      <c r="A51">
        <v>50</v>
      </c>
      <c r="B51">
        <v>30</v>
      </c>
      <c r="C51">
        <v>21</v>
      </c>
      <c r="D51" s="26">
        <v>45805</v>
      </c>
    </row>
    <row r="52" spans="1:4">
      <c r="A52">
        <v>51</v>
      </c>
      <c r="B52">
        <v>1</v>
      </c>
      <c r="C52">
        <v>57</v>
      </c>
      <c r="D52" s="26">
        <v>45697</v>
      </c>
    </row>
    <row r="53" spans="1:4">
      <c r="A53">
        <v>52</v>
      </c>
      <c r="B53">
        <v>20</v>
      </c>
      <c r="C53">
        <v>24</v>
      </c>
      <c r="D53" s="26">
        <v>45896</v>
      </c>
    </row>
    <row r="54" spans="1:4">
      <c r="A54">
        <v>53</v>
      </c>
      <c r="B54">
        <v>33</v>
      </c>
      <c r="C54">
        <v>73</v>
      </c>
      <c r="D54" s="26">
        <v>45593</v>
      </c>
    </row>
    <row r="55" spans="1:4">
      <c r="A55">
        <v>54</v>
      </c>
      <c r="B55">
        <v>27</v>
      </c>
      <c r="C55">
        <v>51</v>
      </c>
      <c r="D55" s="26">
        <v>45747</v>
      </c>
    </row>
    <row r="56" spans="1:4">
      <c r="A56">
        <v>55</v>
      </c>
      <c r="B56">
        <v>42</v>
      </c>
      <c r="C56">
        <v>49</v>
      </c>
      <c r="D56" s="26">
        <v>45714</v>
      </c>
    </row>
    <row r="57" spans="1:4">
      <c r="A57">
        <v>56</v>
      </c>
      <c r="B57">
        <v>36</v>
      </c>
      <c r="C57">
        <v>23</v>
      </c>
      <c r="D57" s="26">
        <v>45609</v>
      </c>
    </row>
    <row r="58" spans="1:4">
      <c r="A58">
        <v>57</v>
      </c>
      <c r="B58">
        <v>29</v>
      </c>
      <c r="C58">
        <v>70</v>
      </c>
      <c r="D58" s="26">
        <v>45636</v>
      </c>
    </row>
    <row r="59" spans="1:4">
      <c r="A59">
        <v>58</v>
      </c>
      <c r="B59">
        <v>7</v>
      </c>
      <c r="C59">
        <v>77</v>
      </c>
      <c r="D59" s="26">
        <v>45851</v>
      </c>
    </row>
    <row r="60" spans="1:4">
      <c r="A60">
        <v>59</v>
      </c>
      <c r="B60">
        <v>30</v>
      </c>
      <c r="C60">
        <v>2</v>
      </c>
      <c r="D60" s="26">
        <v>45570</v>
      </c>
    </row>
    <row r="61" spans="1:4">
      <c r="A61">
        <v>60</v>
      </c>
      <c r="B61">
        <v>28</v>
      </c>
      <c r="C61">
        <v>59</v>
      </c>
      <c r="D61" s="26">
        <v>45766</v>
      </c>
    </row>
    <row r="62" spans="1:4">
      <c r="A62">
        <v>61</v>
      </c>
      <c r="B62">
        <v>35</v>
      </c>
      <c r="C62">
        <v>58</v>
      </c>
      <c r="D62" s="26">
        <v>45617</v>
      </c>
    </row>
    <row r="63" spans="1:4">
      <c r="A63">
        <v>62</v>
      </c>
      <c r="B63">
        <v>10</v>
      </c>
      <c r="C63">
        <v>89</v>
      </c>
      <c r="D63" s="26">
        <v>45591</v>
      </c>
    </row>
    <row r="64" spans="1:4">
      <c r="A64">
        <v>63</v>
      </c>
      <c r="B64">
        <v>45</v>
      </c>
      <c r="C64">
        <v>7</v>
      </c>
      <c r="D64" s="26">
        <v>45749</v>
      </c>
    </row>
    <row r="65" spans="1:4">
      <c r="A65">
        <v>64</v>
      </c>
      <c r="B65">
        <v>33</v>
      </c>
      <c r="C65">
        <v>91</v>
      </c>
      <c r="D65" s="26">
        <v>45574</v>
      </c>
    </row>
    <row r="66" spans="1:4">
      <c r="A66">
        <v>65</v>
      </c>
      <c r="B66">
        <v>38</v>
      </c>
      <c r="C66">
        <v>94</v>
      </c>
      <c r="D66" s="26">
        <v>45722</v>
      </c>
    </row>
    <row r="67" spans="1:4">
      <c r="A67">
        <v>66</v>
      </c>
      <c r="B67">
        <v>1</v>
      </c>
      <c r="C67">
        <v>91</v>
      </c>
      <c r="D67" s="26">
        <v>45662</v>
      </c>
    </row>
    <row r="68" spans="1:4">
      <c r="A68">
        <v>67</v>
      </c>
      <c r="B68">
        <v>1</v>
      </c>
      <c r="C68">
        <v>49</v>
      </c>
      <c r="D68" s="26">
        <v>45836</v>
      </c>
    </row>
    <row r="69" spans="1:4">
      <c r="A69">
        <v>68</v>
      </c>
      <c r="B69">
        <v>10</v>
      </c>
      <c r="C69">
        <v>18</v>
      </c>
      <c r="D69" s="26">
        <v>45795</v>
      </c>
    </row>
    <row r="70" spans="1:4">
      <c r="A70">
        <v>69</v>
      </c>
      <c r="B70">
        <v>32</v>
      </c>
      <c r="C70">
        <v>18</v>
      </c>
      <c r="D70" s="26">
        <v>45693</v>
      </c>
    </row>
    <row r="71" spans="1:4">
      <c r="A71">
        <v>70</v>
      </c>
      <c r="B71">
        <v>17</v>
      </c>
      <c r="C71">
        <v>91</v>
      </c>
      <c r="D71" s="26">
        <v>45670</v>
      </c>
    </row>
    <row r="72" spans="1:4">
      <c r="A72">
        <v>71</v>
      </c>
      <c r="B72">
        <v>40</v>
      </c>
      <c r="C72">
        <v>59</v>
      </c>
      <c r="D72" s="26">
        <v>45744</v>
      </c>
    </row>
    <row r="73" spans="1:4">
      <c r="A73">
        <v>72</v>
      </c>
      <c r="B73">
        <v>17</v>
      </c>
      <c r="C73">
        <v>46</v>
      </c>
      <c r="D73" s="26">
        <v>45757</v>
      </c>
    </row>
    <row r="74" spans="1:4">
      <c r="A74">
        <v>73</v>
      </c>
      <c r="B74">
        <v>46</v>
      </c>
      <c r="C74">
        <v>10</v>
      </c>
      <c r="D74" s="26">
        <v>45554</v>
      </c>
    </row>
    <row r="75" spans="1:4">
      <c r="A75">
        <v>74</v>
      </c>
      <c r="B75">
        <v>11</v>
      </c>
      <c r="C75">
        <v>13</v>
      </c>
      <c r="D75" s="26">
        <v>45630</v>
      </c>
    </row>
    <row r="76" spans="1:4">
      <c r="A76">
        <v>75</v>
      </c>
      <c r="B76">
        <v>42</v>
      </c>
      <c r="C76">
        <v>91</v>
      </c>
      <c r="D76" s="26">
        <v>45569</v>
      </c>
    </row>
    <row r="77" spans="1:4">
      <c r="A77">
        <v>76</v>
      </c>
      <c r="B77">
        <v>17</v>
      </c>
      <c r="C77">
        <v>94</v>
      </c>
      <c r="D77" s="26">
        <v>45642</v>
      </c>
    </row>
    <row r="78" spans="1:4">
      <c r="A78">
        <v>77</v>
      </c>
      <c r="B78">
        <v>25</v>
      </c>
      <c r="C78">
        <v>79</v>
      </c>
      <c r="D78" s="26">
        <v>45725</v>
      </c>
    </row>
    <row r="79" spans="1:4">
      <c r="A79">
        <v>78</v>
      </c>
      <c r="B79">
        <v>42</v>
      </c>
      <c r="C79">
        <v>15</v>
      </c>
      <c r="D79" s="26">
        <v>45794</v>
      </c>
    </row>
    <row r="80" spans="1:4">
      <c r="A80">
        <v>79</v>
      </c>
      <c r="B80">
        <v>18</v>
      </c>
      <c r="C80">
        <v>92</v>
      </c>
      <c r="D80" s="26">
        <v>45646</v>
      </c>
    </row>
    <row r="81" spans="1:4">
      <c r="A81">
        <v>80</v>
      </c>
      <c r="B81">
        <v>17</v>
      </c>
      <c r="C81">
        <v>93</v>
      </c>
      <c r="D81" s="26">
        <v>45757</v>
      </c>
    </row>
    <row r="82" spans="1:4">
      <c r="A82">
        <v>81</v>
      </c>
      <c r="B82">
        <v>33</v>
      </c>
      <c r="C82">
        <v>33</v>
      </c>
      <c r="D82" s="26">
        <v>45562</v>
      </c>
    </row>
    <row r="83" spans="1:4">
      <c r="A83">
        <v>82</v>
      </c>
      <c r="B83">
        <v>6</v>
      </c>
      <c r="C83">
        <v>76</v>
      </c>
      <c r="D83" s="26">
        <v>45569</v>
      </c>
    </row>
    <row r="84" spans="1:4">
      <c r="A84">
        <v>83</v>
      </c>
      <c r="B84">
        <v>16</v>
      </c>
      <c r="C84">
        <v>48</v>
      </c>
      <c r="D84" s="26">
        <v>45896</v>
      </c>
    </row>
    <row r="85" spans="1:4">
      <c r="A85">
        <v>84</v>
      </c>
      <c r="B85">
        <v>21</v>
      </c>
      <c r="C85">
        <v>50</v>
      </c>
      <c r="D85" s="26">
        <v>45880</v>
      </c>
    </row>
    <row r="86" spans="1:4">
      <c r="A86">
        <v>85</v>
      </c>
      <c r="B86">
        <v>21</v>
      </c>
      <c r="C86">
        <v>22</v>
      </c>
      <c r="D86" s="26">
        <v>45725</v>
      </c>
    </row>
    <row r="87" spans="1:4">
      <c r="A87">
        <v>86</v>
      </c>
      <c r="B87">
        <v>23</v>
      </c>
      <c r="C87">
        <v>76</v>
      </c>
      <c r="D87" s="26">
        <v>45872</v>
      </c>
    </row>
    <row r="88" spans="1:4">
      <c r="A88">
        <v>87</v>
      </c>
      <c r="B88">
        <v>8</v>
      </c>
      <c r="C88">
        <v>98</v>
      </c>
      <c r="D88" s="26">
        <v>45905</v>
      </c>
    </row>
    <row r="89" spans="1:4">
      <c r="A89">
        <v>88</v>
      </c>
      <c r="B89">
        <v>11</v>
      </c>
      <c r="C89">
        <v>64</v>
      </c>
      <c r="D89" s="26">
        <v>45905</v>
      </c>
    </row>
    <row r="90" spans="1:4">
      <c r="A90">
        <v>89</v>
      </c>
      <c r="B90">
        <v>21</v>
      </c>
      <c r="C90">
        <v>10</v>
      </c>
      <c r="D90" s="26">
        <v>45857</v>
      </c>
    </row>
    <row r="91" spans="1:4">
      <c r="A91">
        <v>90</v>
      </c>
      <c r="B91">
        <v>38</v>
      </c>
      <c r="C91">
        <v>40</v>
      </c>
      <c r="D91" s="26">
        <v>45624</v>
      </c>
    </row>
    <row r="92" spans="1:4">
      <c r="A92">
        <v>91</v>
      </c>
      <c r="B92">
        <v>27</v>
      </c>
      <c r="C92">
        <v>46</v>
      </c>
      <c r="D92" s="26">
        <v>45751</v>
      </c>
    </row>
    <row r="93" spans="1:4">
      <c r="A93">
        <v>92</v>
      </c>
      <c r="B93">
        <v>14</v>
      </c>
      <c r="C93">
        <v>16</v>
      </c>
      <c r="D93" s="26">
        <v>45642</v>
      </c>
    </row>
    <row r="94" spans="1:4">
      <c r="A94">
        <v>93</v>
      </c>
      <c r="B94">
        <v>46</v>
      </c>
      <c r="C94">
        <v>39</v>
      </c>
      <c r="D94" s="26">
        <v>45782</v>
      </c>
    </row>
    <row r="95" spans="1:4">
      <c r="A95">
        <v>94</v>
      </c>
      <c r="B95">
        <v>4</v>
      </c>
      <c r="C95">
        <v>13</v>
      </c>
      <c r="D95" s="26">
        <v>45697</v>
      </c>
    </row>
    <row r="96" spans="1:4">
      <c r="A96">
        <v>95</v>
      </c>
      <c r="B96">
        <v>44</v>
      </c>
      <c r="C96">
        <v>7</v>
      </c>
      <c r="D96" s="26">
        <v>45665</v>
      </c>
    </row>
    <row r="97" spans="1:4">
      <c r="A97">
        <v>96</v>
      </c>
      <c r="B97">
        <v>42</v>
      </c>
      <c r="C97">
        <v>29</v>
      </c>
      <c r="D97" s="26">
        <v>45676</v>
      </c>
    </row>
    <row r="98" spans="1:4">
      <c r="A98">
        <v>97</v>
      </c>
      <c r="B98">
        <v>4</v>
      </c>
      <c r="C98">
        <v>68</v>
      </c>
      <c r="D98" s="26">
        <v>45846</v>
      </c>
    </row>
    <row r="99" spans="1:4">
      <c r="A99">
        <v>98</v>
      </c>
      <c r="B99">
        <v>18</v>
      </c>
      <c r="C99">
        <v>93</v>
      </c>
      <c r="D99" s="26">
        <v>45586</v>
      </c>
    </row>
    <row r="100" spans="1:4">
      <c r="A100">
        <v>99</v>
      </c>
      <c r="B100">
        <v>1</v>
      </c>
      <c r="C100">
        <v>38</v>
      </c>
      <c r="D100" s="26">
        <v>45574</v>
      </c>
    </row>
    <row r="101" spans="1:4">
      <c r="A101">
        <v>100</v>
      </c>
      <c r="B101">
        <v>21</v>
      </c>
      <c r="C101">
        <v>71</v>
      </c>
      <c r="D101" s="26">
        <v>45697</v>
      </c>
    </row>
    <row r="102" spans="1:4">
      <c r="A102">
        <v>101</v>
      </c>
      <c r="B102">
        <v>15</v>
      </c>
      <c r="C102">
        <v>64</v>
      </c>
      <c r="D102" s="26">
        <v>45687</v>
      </c>
    </row>
    <row r="103" spans="1:4">
      <c r="A103">
        <v>102</v>
      </c>
      <c r="B103">
        <v>36</v>
      </c>
      <c r="C103">
        <v>69</v>
      </c>
      <c r="D103" s="26">
        <v>45746</v>
      </c>
    </row>
    <row r="104" spans="1:4">
      <c r="A104">
        <v>103</v>
      </c>
      <c r="B104">
        <v>31</v>
      </c>
      <c r="C104">
        <v>46</v>
      </c>
      <c r="D104" s="26">
        <v>45573</v>
      </c>
    </row>
    <row r="105" spans="1:4">
      <c r="A105">
        <v>104</v>
      </c>
      <c r="B105">
        <v>21</v>
      </c>
      <c r="C105">
        <v>10</v>
      </c>
      <c r="D105" s="26">
        <v>45876</v>
      </c>
    </row>
    <row r="106" spans="1:4">
      <c r="A106">
        <v>105</v>
      </c>
      <c r="B106">
        <v>42</v>
      </c>
      <c r="C106">
        <v>94</v>
      </c>
      <c r="D106" s="26">
        <v>45620</v>
      </c>
    </row>
    <row r="107" spans="1:4">
      <c r="A107">
        <v>106</v>
      </c>
      <c r="B107">
        <v>7</v>
      </c>
      <c r="C107">
        <v>93</v>
      </c>
      <c r="D107" s="26">
        <v>45900</v>
      </c>
    </row>
    <row r="108" spans="1:4">
      <c r="A108">
        <v>107</v>
      </c>
      <c r="B108">
        <v>31</v>
      </c>
      <c r="C108">
        <v>79</v>
      </c>
      <c r="D108" s="26">
        <v>45795</v>
      </c>
    </row>
    <row r="109" spans="1:4">
      <c r="A109">
        <v>108</v>
      </c>
      <c r="B109">
        <v>3</v>
      </c>
      <c r="C109">
        <v>42</v>
      </c>
      <c r="D109" s="26">
        <v>45762</v>
      </c>
    </row>
    <row r="110" spans="1:4">
      <c r="A110">
        <v>109</v>
      </c>
      <c r="B110">
        <v>43</v>
      </c>
      <c r="C110">
        <v>35</v>
      </c>
      <c r="D110" s="26">
        <v>45660</v>
      </c>
    </row>
    <row r="111" spans="1:4">
      <c r="A111">
        <v>110</v>
      </c>
      <c r="B111">
        <v>48</v>
      </c>
      <c r="C111">
        <v>46</v>
      </c>
      <c r="D111" s="26">
        <v>45596</v>
      </c>
    </row>
    <row r="112" spans="1:4">
      <c r="A112">
        <v>111</v>
      </c>
      <c r="B112">
        <v>23</v>
      </c>
      <c r="C112">
        <v>52</v>
      </c>
      <c r="D112" s="26">
        <v>45574</v>
      </c>
    </row>
    <row r="113" spans="1:4">
      <c r="A113">
        <v>112</v>
      </c>
      <c r="B113">
        <v>39</v>
      </c>
      <c r="C113">
        <v>2</v>
      </c>
      <c r="D113" s="26">
        <v>45774</v>
      </c>
    </row>
    <row r="114" spans="1:4">
      <c r="A114">
        <v>113</v>
      </c>
      <c r="B114">
        <v>16</v>
      </c>
      <c r="C114">
        <v>92</v>
      </c>
      <c r="D114" s="26">
        <v>45804</v>
      </c>
    </row>
    <row r="115" spans="1:4">
      <c r="A115">
        <v>114</v>
      </c>
      <c r="B115">
        <v>10</v>
      </c>
      <c r="C115">
        <v>77</v>
      </c>
      <c r="D115" s="26">
        <v>45801</v>
      </c>
    </row>
    <row r="116" spans="1:4">
      <c r="A116">
        <v>115</v>
      </c>
      <c r="B116">
        <v>8</v>
      </c>
      <c r="C116">
        <v>91</v>
      </c>
      <c r="D116" s="26">
        <v>45916</v>
      </c>
    </row>
    <row r="117" spans="1:4">
      <c r="A117">
        <v>116</v>
      </c>
      <c r="B117">
        <v>1</v>
      </c>
      <c r="C117">
        <v>37</v>
      </c>
      <c r="D117" s="26">
        <v>45844</v>
      </c>
    </row>
    <row r="118" spans="1:4">
      <c r="A118">
        <v>117</v>
      </c>
      <c r="B118">
        <v>32</v>
      </c>
      <c r="C118">
        <v>4</v>
      </c>
      <c r="D118" s="26">
        <v>45622</v>
      </c>
    </row>
    <row r="119" spans="1:4">
      <c r="A119">
        <v>118</v>
      </c>
      <c r="B119">
        <v>46</v>
      </c>
      <c r="C119">
        <v>8</v>
      </c>
      <c r="D119" s="26">
        <v>45657</v>
      </c>
    </row>
    <row r="120" spans="1:4">
      <c r="A120">
        <v>119</v>
      </c>
      <c r="B120">
        <v>23</v>
      </c>
      <c r="C120">
        <v>87</v>
      </c>
      <c r="D120" s="26">
        <v>45771</v>
      </c>
    </row>
    <row r="121" spans="1:4">
      <c r="A121">
        <v>120</v>
      </c>
      <c r="B121">
        <v>41</v>
      </c>
      <c r="C121">
        <v>92</v>
      </c>
      <c r="D121" s="26">
        <v>45795</v>
      </c>
    </row>
    <row r="122" spans="1:4">
      <c r="A122">
        <v>121</v>
      </c>
      <c r="B122">
        <v>36</v>
      </c>
      <c r="C122">
        <v>25</v>
      </c>
      <c r="D122" s="26">
        <v>45695</v>
      </c>
    </row>
    <row r="123" spans="1:4">
      <c r="A123">
        <v>122</v>
      </c>
      <c r="B123">
        <v>11</v>
      </c>
      <c r="C123">
        <v>5</v>
      </c>
      <c r="D123" s="26">
        <v>45899</v>
      </c>
    </row>
    <row r="124" spans="1:4">
      <c r="A124">
        <v>123</v>
      </c>
      <c r="B124">
        <v>35</v>
      </c>
      <c r="C124">
        <v>67</v>
      </c>
      <c r="D124" s="26">
        <v>45811</v>
      </c>
    </row>
    <row r="125" spans="1:4">
      <c r="A125">
        <v>124</v>
      </c>
      <c r="B125">
        <v>10</v>
      </c>
      <c r="C125">
        <v>63</v>
      </c>
      <c r="D125" s="26">
        <v>45807</v>
      </c>
    </row>
    <row r="126" spans="1:4">
      <c r="A126">
        <v>125</v>
      </c>
      <c r="B126">
        <v>28</v>
      </c>
      <c r="C126">
        <v>82</v>
      </c>
      <c r="D126" s="26">
        <v>45763</v>
      </c>
    </row>
    <row r="127" spans="1:4">
      <c r="A127">
        <v>126</v>
      </c>
      <c r="B127">
        <v>21</v>
      </c>
      <c r="C127">
        <v>3</v>
      </c>
      <c r="D127" s="26">
        <v>45808</v>
      </c>
    </row>
    <row r="128" spans="1:4">
      <c r="A128">
        <v>127</v>
      </c>
      <c r="B128">
        <v>2</v>
      </c>
      <c r="C128">
        <v>33</v>
      </c>
      <c r="D128" s="26">
        <v>45598</v>
      </c>
    </row>
    <row r="129" spans="1:4">
      <c r="A129">
        <v>128</v>
      </c>
      <c r="B129">
        <v>14</v>
      </c>
      <c r="C129">
        <v>75</v>
      </c>
      <c r="D129" s="26">
        <v>45622</v>
      </c>
    </row>
    <row r="130" spans="1:4">
      <c r="A130">
        <v>129</v>
      </c>
      <c r="B130">
        <v>5</v>
      </c>
      <c r="C130">
        <v>4</v>
      </c>
      <c r="D130" s="26">
        <v>45796</v>
      </c>
    </row>
    <row r="131" spans="1:4">
      <c r="A131">
        <v>130</v>
      </c>
      <c r="B131">
        <v>45</v>
      </c>
      <c r="C131">
        <v>8</v>
      </c>
      <c r="D131" s="26">
        <v>45669</v>
      </c>
    </row>
    <row r="132" spans="1:4">
      <c r="A132">
        <v>131</v>
      </c>
      <c r="B132">
        <v>27</v>
      </c>
      <c r="C132">
        <v>81</v>
      </c>
      <c r="D132" s="26">
        <v>45864</v>
      </c>
    </row>
    <row r="133" spans="1:4">
      <c r="A133">
        <v>132</v>
      </c>
      <c r="B133">
        <v>17</v>
      </c>
      <c r="C133">
        <v>50</v>
      </c>
      <c r="D133" s="26">
        <v>45578</v>
      </c>
    </row>
    <row r="134" spans="1:4">
      <c r="A134">
        <v>133</v>
      </c>
      <c r="B134">
        <v>21</v>
      </c>
      <c r="C134">
        <v>55</v>
      </c>
      <c r="D134" s="26">
        <v>45721</v>
      </c>
    </row>
    <row r="135" spans="1:4">
      <c r="A135">
        <v>134</v>
      </c>
      <c r="B135">
        <v>4</v>
      </c>
      <c r="C135">
        <v>47</v>
      </c>
      <c r="D135" s="26">
        <v>45772</v>
      </c>
    </row>
    <row r="136" spans="1:4">
      <c r="A136">
        <v>135</v>
      </c>
      <c r="B136">
        <v>30</v>
      </c>
      <c r="C136">
        <v>19</v>
      </c>
      <c r="D136" s="26">
        <v>45638</v>
      </c>
    </row>
    <row r="137" spans="1:4">
      <c r="A137">
        <v>136</v>
      </c>
      <c r="B137">
        <v>26</v>
      </c>
      <c r="C137">
        <v>68</v>
      </c>
      <c r="D137" s="26">
        <v>45897</v>
      </c>
    </row>
    <row r="138" spans="1:4">
      <c r="A138">
        <v>137</v>
      </c>
      <c r="B138">
        <v>7</v>
      </c>
      <c r="C138">
        <v>72</v>
      </c>
      <c r="D138" s="26">
        <v>45618</v>
      </c>
    </row>
    <row r="139" spans="1:4">
      <c r="A139">
        <v>138</v>
      </c>
      <c r="B139">
        <v>32</v>
      </c>
      <c r="C139">
        <v>84</v>
      </c>
      <c r="D139" s="26">
        <v>45564</v>
      </c>
    </row>
    <row r="140" spans="1:4">
      <c r="A140">
        <v>139</v>
      </c>
      <c r="B140">
        <v>33</v>
      </c>
      <c r="C140">
        <v>81</v>
      </c>
      <c r="D140" s="26">
        <v>45652</v>
      </c>
    </row>
    <row r="141" spans="1:4">
      <c r="A141">
        <v>140</v>
      </c>
      <c r="B141">
        <v>50</v>
      </c>
      <c r="C141">
        <v>98</v>
      </c>
      <c r="D141" s="26">
        <v>45889</v>
      </c>
    </row>
    <row r="142" spans="1:4">
      <c r="A142">
        <v>141</v>
      </c>
      <c r="B142">
        <v>47</v>
      </c>
      <c r="C142">
        <v>40</v>
      </c>
      <c r="D142" s="26">
        <v>45686</v>
      </c>
    </row>
    <row r="143" spans="1:4">
      <c r="A143">
        <v>142</v>
      </c>
      <c r="B143">
        <v>47</v>
      </c>
      <c r="C143">
        <v>85</v>
      </c>
      <c r="D143" s="26">
        <v>45834</v>
      </c>
    </row>
    <row r="144" spans="1:4">
      <c r="A144">
        <v>143</v>
      </c>
      <c r="B144">
        <v>46</v>
      </c>
      <c r="C144">
        <v>51</v>
      </c>
      <c r="D144" s="26">
        <v>45672</v>
      </c>
    </row>
    <row r="145" spans="1:4">
      <c r="A145">
        <v>144</v>
      </c>
      <c r="B145">
        <v>50</v>
      </c>
      <c r="C145">
        <v>19</v>
      </c>
      <c r="D145" s="26">
        <v>45575</v>
      </c>
    </row>
    <row r="146" spans="1:4">
      <c r="A146">
        <v>145</v>
      </c>
      <c r="B146">
        <v>30</v>
      </c>
      <c r="C146">
        <v>60</v>
      </c>
      <c r="D146" s="26">
        <v>45752</v>
      </c>
    </row>
    <row r="147" spans="1:4">
      <c r="A147">
        <v>146</v>
      </c>
      <c r="B147">
        <v>30</v>
      </c>
      <c r="C147">
        <v>85</v>
      </c>
      <c r="D147" s="26">
        <v>45631</v>
      </c>
    </row>
    <row r="148" spans="1:4">
      <c r="A148">
        <v>147</v>
      </c>
      <c r="B148">
        <v>19</v>
      </c>
      <c r="C148">
        <v>26</v>
      </c>
      <c r="D148" s="26">
        <v>45567</v>
      </c>
    </row>
    <row r="149" spans="1:4">
      <c r="A149">
        <v>148</v>
      </c>
      <c r="B149">
        <v>29</v>
      </c>
      <c r="C149">
        <v>11</v>
      </c>
      <c r="D149" s="26">
        <v>45562</v>
      </c>
    </row>
    <row r="150" spans="1:4">
      <c r="A150">
        <v>149</v>
      </c>
      <c r="B150">
        <v>45</v>
      </c>
      <c r="C150">
        <v>33</v>
      </c>
      <c r="D150" s="26">
        <v>45638</v>
      </c>
    </row>
    <row r="151" spans="1:4">
      <c r="A151">
        <v>150</v>
      </c>
      <c r="B151">
        <v>17</v>
      </c>
      <c r="C151">
        <v>80</v>
      </c>
      <c r="D151" s="26">
        <v>45691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D1" sqref="D$1:D$1048576"/>
    </sheetView>
  </sheetViews>
  <sheetFormatPr defaultColWidth="9" defaultRowHeight="14.4" outlineLevelCol="3"/>
  <cols>
    <col min="4" max="4" width="16.7777777777778" customWidth="1"/>
  </cols>
  <sheetData>
    <row r="1" spans="1:4">
      <c r="A1" s="4" t="s">
        <v>1</v>
      </c>
      <c r="B1" s="4" t="s">
        <v>2</v>
      </c>
      <c r="C1" s="4" t="s">
        <v>285</v>
      </c>
      <c r="D1" s="4" t="s">
        <v>286</v>
      </c>
    </row>
    <row r="2" spans="1:4">
      <c r="A2">
        <v>1</v>
      </c>
      <c r="B2">
        <v>13</v>
      </c>
      <c r="C2">
        <v>191</v>
      </c>
      <c r="D2" s="26">
        <v>45659</v>
      </c>
    </row>
    <row r="3" spans="1:4">
      <c r="A3">
        <v>2</v>
      </c>
      <c r="B3">
        <v>8</v>
      </c>
      <c r="C3">
        <v>175</v>
      </c>
      <c r="D3" s="26">
        <v>45647</v>
      </c>
    </row>
    <row r="4" spans="1:4">
      <c r="A4">
        <v>3</v>
      </c>
      <c r="B4">
        <v>18</v>
      </c>
      <c r="C4">
        <v>23</v>
      </c>
      <c r="D4" s="26">
        <v>45624</v>
      </c>
    </row>
    <row r="5" spans="1:4">
      <c r="A5">
        <v>4</v>
      </c>
      <c r="B5">
        <v>2</v>
      </c>
      <c r="C5">
        <v>152</v>
      </c>
      <c r="D5" s="26">
        <v>45624</v>
      </c>
    </row>
    <row r="6" spans="1:4">
      <c r="A6">
        <v>5</v>
      </c>
      <c r="B6">
        <v>5</v>
      </c>
      <c r="C6">
        <v>112</v>
      </c>
      <c r="D6" s="26">
        <v>45841</v>
      </c>
    </row>
    <row r="7" spans="1:4">
      <c r="A7">
        <v>6</v>
      </c>
      <c r="B7">
        <v>49</v>
      </c>
      <c r="C7">
        <v>22</v>
      </c>
      <c r="D7" s="26">
        <v>45887</v>
      </c>
    </row>
    <row r="8" spans="1:4">
      <c r="A8">
        <v>7</v>
      </c>
      <c r="B8">
        <v>8</v>
      </c>
      <c r="C8">
        <v>92</v>
      </c>
      <c r="D8" s="26">
        <v>45737</v>
      </c>
    </row>
    <row r="9" spans="1:4">
      <c r="A9">
        <v>8</v>
      </c>
      <c r="B9">
        <v>13</v>
      </c>
      <c r="C9">
        <v>69</v>
      </c>
      <c r="D9" s="26">
        <v>45551</v>
      </c>
    </row>
    <row r="10" spans="1:4">
      <c r="A10">
        <v>9</v>
      </c>
      <c r="B10">
        <v>14</v>
      </c>
      <c r="C10">
        <v>70</v>
      </c>
      <c r="D10" s="26">
        <v>45779</v>
      </c>
    </row>
    <row r="11" spans="1:4">
      <c r="A11">
        <v>10</v>
      </c>
      <c r="B11">
        <v>11</v>
      </c>
      <c r="C11">
        <v>187</v>
      </c>
      <c r="D11" s="26">
        <v>45703</v>
      </c>
    </row>
    <row r="12" spans="1:4">
      <c r="A12">
        <v>11</v>
      </c>
      <c r="B12">
        <v>40</v>
      </c>
      <c r="C12">
        <v>67</v>
      </c>
      <c r="D12" s="26">
        <v>45694</v>
      </c>
    </row>
    <row r="13" spans="1:4">
      <c r="A13">
        <v>12</v>
      </c>
      <c r="B13">
        <v>45</v>
      </c>
      <c r="C13">
        <v>96</v>
      </c>
      <c r="D13" s="26">
        <v>45728</v>
      </c>
    </row>
    <row r="14" spans="1:4">
      <c r="A14">
        <v>13</v>
      </c>
      <c r="B14">
        <v>33</v>
      </c>
      <c r="C14">
        <v>93</v>
      </c>
      <c r="D14" s="26">
        <v>45850</v>
      </c>
    </row>
    <row r="15" spans="1:4">
      <c r="A15">
        <v>14</v>
      </c>
      <c r="B15">
        <v>19</v>
      </c>
      <c r="C15">
        <v>37</v>
      </c>
      <c r="D15" s="26">
        <v>45554</v>
      </c>
    </row>
    <row r="16" spans="1:4">
      <c r="A16">
        <v>15</v>
      </c>
      <c r="B16">
        <v>33</v>
      </c>
      <c r="C16">
        <v>19</v>
      </c>
      <c r="D16" s="26">
        <v>45776</v>
      </c>
    </row>
    <row r="17" spans="1:4">
      <c r="A17">
        <v>16</v>
      </c>
      <c r="B17">
        <v>24</v>
      </c>
      <c r="C17">
        <v>93</v>
      </c>
      <c r="D17" s="26">
        <v>45705</v>
      </c>
    </row>
    <row r="18" spans="1:4">
      <c r="A18">
        <v>17</v>
      </c>
      <c r="B18">
        <v>19</v>
      </c>
      <c r="C18">
        <v>124</v>
      </c>
      <c r="D18" s="26">
        <v>45760</v>
      </c>
    </row>
    <row r="19" spans="1:4">
      <c r="A19">
        <v>18</v>
      </c>
      <c r="B19">
        <v>19</v>
      </c>
      <c r="C19">
        <v>153</v>
      </c>
      <c r="D19" s="26">
        <v>45639</v>
      </c>
    </row>
    <row r="20" spans="1:4">
      <c r="A20">
        <v>19</v>
      </c>
      <c r="B20">
        <v>20</v>
      </c>
      <c r="C20">
        <v>182</v>
      </c>
      <c r="D20" s="26">
        <v>45794</v>
      </c>
    </row>
    <row r="21" spans="1:4">
      <c r="A21">
        <v>20</v>
      </c>
      <c r="B21">
        <v>9</v>
      </c>
      <c r="C21">
        <v>40</v>
      </c>
      <c r="D21" s="26">
        <v>45621</v>
      </c>
    </row>
    <row r="22" spans="1:4">
      <c r="A22">
        <v>21</v>
      </c>
      <c r="B22">
        <v>7</v>
      </c>
      <c r="C22">
        <v>129</v>
      </c>
      <c r="D22" s="26">
        <v>45801</v>
      </c>
    </row>
    <row r="23" spans="1:4">
      <c r="A23">
        <v>22</v>
      </c>
      <c r="B23">
        <v>8</v>
      </c>
      <c r="C23">
        <v>84</v>
      </c>
      <c r="D23" s="26">
        <v>45750</v>
      </c>
    </row>
    <row r="24" spans="1:4">
      <c r="A24">
        <v>23</v>
      </c>
      <c r="B24">
        <v>11</v>
      </c>
      <c r="C24">
        <v>158</v>
      </c>
      <c r="D24" s="26">
        <v>45566</v>
      </c>
    </row>
    <row r="25" spans="1:4">
      <c r="A25">
        <v>24</v>
      </c>
      <c r="B25">
        <v>17</v>
      </c>
      <c r="C25">
        <v>29</v>
      </c>
      <c r="D25" s="26">
        <v>45691</v>
      </c>
    </row>
    <row r="26" spans="1:4">
      <c r="A26">
        <v>25</v>
      </c>
      <c r="B26">
        <v>22</v>
      </c>
      <c r="C26">
        <v>144</v>
      </c>
      <c r="D26" s="26">
        <v>45660</v>
      </c>
    </row>
    <row r="27" spans="1:4">
      <c r="A27">
        <v>26</v>
      </c>
      <c r="B27">
        <v>11</v>
      </c>
      <c r="C27">
        <v>14</v>
      </c>
      <c r="D27" s="26">
        <v>45891</v>
      </c>
    </row>
    <row r="28" spans="1:4">
      <c r="A28">
        <v>27</v>
      </c>
      <c r="B28">
        <v>38</v>
      </c>
      <c r="C28">
        <v>150</v>
      </c>
      <c r="D28" s="26">
        <v>45693</v>
      </c>
    </row>
    <row r="29" spans="1:4">
      <c r="A29">
        <v>28</v>
      </c>
      <c r="B29">
        <v>46</v>
      </c>
      <c r="C29">
        <v>181</v>
      </c>
      <c r="D29" s="26">
        <v>45676</v>
      </c>
    </row>
    <row r="30" spans="1:4">
      <c r="A30">
        <v>29</v>
      </c>
      <c r="B30">
        <v>48</v>
      </c>
      <c r="C30">
        <v>10</v>
      </c>
      <c r="D30" s="26">
        <v>45618</v>
      </c>
    </row>
    <row r="31" spans="1:4">
      <c r="A31">
        <v>30</v>
      </c>
      <c r="B31">
        <v>41</v>
      </c>
      <c r="C31">
        <v>44</v>
      </c>
      <c r="D31" s="26">
        <v>45626</v>
      </c>
    </row>
    <row r="32" spans="1:4">
      <c r="A32">
        <v>31</v>
      </c>
      <c r="B32">
        <v>27</v>
      </c>
      <c r="C32">
        <v>164</v>
      </c>
      <c r="D32" s="26">
        <v>45678</v>
      </c>
    </row>
    <row r="33" spans="1:4">
      <c r="A33">
        <v>32</v>
      </c>
      <c r="B33">
        <v>29</v>
      </c>
      <c r="C33">
        <v>48</v>
      </c>
      <c r="D33" s="26">
        <v>45781</v>
      </c>
    </row>
    <row r="34" spans="1:4">
      <c r="A34">
        <v>33</v>
      </c>
      <c r="B34">
        <v>49</v>
      </c>
      <c r="C34">
        <v>121</v>
      </c>
      <c r="D34" s="26">
        <v>45736</v>
      </c>
    </row>
    <row r="35" spans="1:4">
      <c r="A35">
        <v>34</v>
      </c>
      <c r="B35">
        <v>3</v>
      </c>
      <c r="C35">
        <v>60</v>
      </c>
      <c r="D35" s="26">
        <v>45682</v>
      </c>
    </row>
    <row r="36" spans="1:4">
      <c r="A36">
        <v>35</v>
      </c>
      <c r="B36">
        <v>39</v>
      </c>
      <c r="C36">
        <v>64</v>
      </c>
      <c r="D36" s="26">
        <v>45573</v>
      </c>
    </row>
    <row r="37" spans="1:4">
      <c r="A37">
        <v>36</v>
      </c>
      <c r="B37">
        <v>11</v>
      </c>
      <c r="C37">
        <v>109</v>
      </c>
      <c r="D37" s="26">
        <v>45592</v>
      </c>
    </row>
    <row r="38" spans="1:4">
      <c r="A38">
        <v>37</v>
      </c>
      <c r="B38">
        <v>6</v>
      </c>
      <c r="C38">
        <v>31</v>
      </c>
      <c r="D38" s="26">
        <v>45775</v>
      </c>
    </row>
    <row r="39" spans="1:4">
      <c r="A39">
        <v>38</v>
      </c>
      <c r="B39">
        <v>3</v>
      </c>
      <c r="C39">
        <v>106</v>
      </c>
      <c r="D39" s="26">
        <v>45582</v>
      </c>
    </row>
    <row r="40" spans="1:4">
      <c r="A40">
        <v>39</v>
      </c>
      <c r="B40">
        <v>9</v>
      </c>
      <c r="C40">
        <v>194</v>
      </c>
      <c r="D40" s="26">
        <v>45788</v>
      </c>
    </row>
    <row r="41" spans="1:4">
      <c r="A41">
        <v>40</v>
      </c>
      <c r="B41">
        <v>39</v>
      </c>
      <c r="C41">
        <v>78</v>
      </c>
      <c r="D41" s="26">
        <v>45812</v>
      </c>
    </row>
    <row r="42" spans="1:4">
      <c r="A42">
        <v>41</v>
      </c>
      <c r="B42">
        <v>49</v>
      </c>
      <c r="C42">
        <v>142</v>
      </c>
      <c r="D42" s="26">
        <v>45700</v>
      </c>
    </row>
    <row r="43" spans="1:4">
      <c r="A43">
        <v>42</v>
      </c>
      <c r="B43">
        <v>2</v>
      </c>
      <c r="C43">
        <v>139</v>
      </c>
      <c r="D43" s="26">
        <v>45633</v>
      </c>
    </row>
    <row r="44" spans="1:4">
      <c r="A44">
        <v>43</v>
      </c>
      <c r="B44">
        <v>12</v>
      </c>
      <c r="C44">
        <v>114</v>
      </c>
      <c r="D44" s="26">
        <v>45875</v>
      </c>
    </row>
    <row r="45" spans="1:4">
      <c r="A45">
        <v>44</v>
      </c>
      <c r="B45">
        <v>16</v>
      </c>
      <c r="C45">
        <v>17</v>
      </c>
      <c r="D45" s="26">
        <v>45904</v>
      </c>
    </row>
    <row r="46" spans="1:4">
      <c r="A46">
        <v>45</v>
      </c>
      <c r="B46">
        <v>1</v>
      </c>
      <c r="C46">
        <v>27</v>
      </c>
      <c r="D46" s="26">
        <v>45616</v>
      </c>
    </row>
    <row r="47" spans="1:4">
      <c r="A47">
        <v>46</v>
      </c>
      <c r="B47">
        <v>23</v>
      </c>
      <c r="C47">
        <v>173</v>
      </c>
      <c r="D47" s="26">
        <v>45813</v>
      </c>
    </row>
    <row r="48" spans="1:4">
      <c r="A48">
        <v>47</v>
      </c>
      <c r="B48">
        <v>19</v>
      </c>
      <c r="C48">
        <v>115</v>
      </c>
      <c r="D48" s="26">
        <v>45608</v>
      </c>
    </row>
    <row r="49" spans="1:4">
      <c r="A49">
        <v>48</v>
      </c>
      <c r="B49">
        <v>8</v>
      </c>
      <c r="C49">
        <v>114</v>
      </c>
      <c r="D49" s="26">
        <v>45761</v>
      </c>
    </row>
    <row r="50" spans="1:4">
      <c r="A50">
        <v>49</v>
      </c>
      <c r="B50">
        <v>46</v>
      </c>
      <c r="C50">
        <v>61</v>
      </c>
      <c r="D50" s="26">
        <v>45880</v>
      </c>
    </row>
    <row r="51" spans="1:4">
      <c r="A51">
        <v>50</v>
      </c>
      <c r="B51">
        <v>5</v>
      </c>
      <c r="C51">
        <v>38</v>
      </c>
      <c r="D51" s="26">
        <v>45670</v>
      </c>
    </row>
    <row r="52" spans="1:4">
      <c r="A52">
        <v>51</v>
      </c>
      <c r="B52">
        <v>15</v>
      </c>
      <c r="C52">
        <v>43</v>
      </c>
      <c r="D52" s="26">
        <v>45665</v>
      </c>
    </row>
    <row r="53" spans="1:4">
      <c r="A53">
        <v>52</v>
      </c>
      <c r="B53">
        <v>25</v>
      </c>
      <c r="C53">
        <v>169</v>
      </c>
      <c r="D53" s="26">
        <v>45905</v>
      </c>
    </row>
    <row r="54" spans="1:4">
      <c r="A54">
        <v>53</v>
      </c>
      <c r="B54">
        <v>49</v>
      </c>
      <c r="C54">
        <v>181</v>
      </c>
      <c r="D54" s="26">
        <v>45756</v>
      </c>
    </row>
    <row r="55" spans="1:4">
      <c r="A55">
        <v>54</v>
      </c>
      <c r="B55">
        <v>34</v>
      </c>
      <c r="C55">
        <v>39</v>
      </c>
      <c r="D55" s="26">
        <v>45910</v>
      </c>
    </row>
    <row r="56" spans="1:4">
      <c r="A56">
        <v>55</v>
      </c>
      <c r="B56">
        <v>1</v>
      </c>
      <c r="C56">
        <v>67</v>
      </c>
      <c r="D56" s="26">
        <v>45761</v>
      </c>
    </row>
    <row r="57" spans="1:4">
      <c r="A57">
        <v>56</v>
      </c>
      <c r="B57">
        <v>23</v>
      </c>
      <c r="C57">
        <v>200</v>
      </c>
      <c r="D57" s="26">
        <v>45722</v>
      </c>
    </row>
    <row r="58" spans="1:4">
      <c r="A58">
        <v>57</v>
      </c>
      <c r="B58">
        <v>46</v>
      </c>
      <c r="C58">
        <v>173</v>
      </c>
      <c r="D58" s="26">
        <v>45736</v>
      </c>
    </row>
    <row r="59" spans="1:4">
      <c r="A59">
        <v>58</v>
      </c>
      <c r="B59">
        <v>22</v>
      </c>
      <c r="C59">
        <v>69</v>
      </c>
      <c r="D59" s="26">
        <v>45804</v>
      </c>
    </row>
    <row r="60" spans="1:4">
      <c r="A60">
        <v>59</v>
      </c>
      <c r="B60">
        <v>6</v>
      </c>
      <c r="C60">
        <v>64</v>
      </c>
      <c r="D60" s="26">
        <v>45847</v>
      </c>
    </row>
    <row r="61" spans="1:4">
      <c r="A61">
        <v>60</v>
      </c>
      <c r="B61">
        <v>30</v>
      </c>
      <c r="C61">
        <v>135</v>
      </c>
      <c r="D61" s="26">
        <v>45621</v>
      </c>
    </row>
    <row r="62" spans="1:4">
      <c r="A62">
        <v>61</v>
      </c>
      <c r="B62">
        <v>41</v>
      </c>
      <c r="C62">
        <v>123</v>
      </c>
      <c r="D62" s="26">
        <v>45665</v>
      </c>
    </row>
    <row r="63" spans="1:4">
      <c r="A63">
        <v>62</v>
      </c>
      <c r="B63">
        <v>31</v>
      </c>
      <c r="C63">
        <v>40</v>
      </c>
      <c r="D63" s="26">
        <v>45554</v>
      </c>
    </row>
    <row r="64" spans="1:4">
      <c r="A64">
        <v>63</v>
      </c>
      <c r="B64">
        <v>38</v>
      </c>
      <c r="C64">
        <v>173</v>
      </c>
      <c r="D64" s="26">
        <v>45617</v>
      </c>
    </row>
    <row r="65" spans="1:4">
      <c r="A65">
        <v>64</v>
      </c>
      <c r="B65">
        <v>49</v>
      </c>
      <c r="C65">
        <v>85</v>
      </c>
      <c r="D65" s="26">
        <v>45704</v>
      </c>
    </row>
    <row r="66" spans="1:4">
      <c r="A66">
        <v>65</v>
      </c>
      <c r="B66">
        <v>20</v>
      </c>
      <c r="C66">
        <v>60</v>
      </c>
      <c r="D66" s="26">
        <v>45633</v>
      </c>
    </row>
    <row r="67" spans="1:4">
      <c r="A67">
        <v>66</v>
      </c>
      <c r="B67">
        <v>7</v>
      </c>
      <c r="C67">
        <v>62</v>
      </c>
      <c r="D67" s="26">
        <v>45596</v>
      </c>
    </row>
    <row r="68" spans="1:4">
      <c r="A68">
        <v>67</v>
      </c>
      <c r="B68">
        <v>11</v>
      </c>
      <c r="C68">
        <v>90</v>
      </c>
      <c r="D68" s="26">
        <v>45815</v>
      </c>
    </row>
    <row r="69" spans="1:4">
      <c r="A69">
        <v>68</v>
      </c>
      <c r="B69">
        <v>23</v>
      </c>
      <c r="C69">
        <v>196</v>
      </c>
      <c r="D69" s="26">
        <v>45643</v>
      </c>
    </row>
    <row r="70" spans="1:4">
      <c r="A70">
        <v>69</v>
      </c>
      <c r="B70">
        <v>34</v>
      </c>
      <c r="C70">
        <v>149</v>
      </c>
      <c r="D70" s="26">
        <v>45741</v>
      </c>
    </row>
    <row r="71" spans="1:4">
      <c r="A71">
        <v>70</v>
      </c>
      <c r="B71">
        <v>25</v>
      </c>
      <c r="C71">
        <v>52</v>
      </c>
      <c r="D71" s="26">
        <v>45629</v>
      </c>
    </row>
    <row r="72" spans="1:4">
      <c r="A72">
        <v>71</v>
      </c>
      <c r="B72">
        <v>22</v>
      </c>
      <c r="C72">
        <v>37</v>
      </c>
      <c r="D72" s="26">
        <v>45716</v>
      </c>
    </row>
    <row r="73" spans="1:4">
      <c r="A73">
        <v>72</v>
      </c>
      <c r="B73">
        <v>23</v>
      </c>
      <c r="C73">
        <v>86</v>
      </c>
      <c r="D73" s="26">
        <v>45587</v>
      </c>
    </row>
    <row r="74" spans="1:4">
      <c r="A74">
        <v>73</v>
      </c>
      <c r="B74">
        <v>4</v>
      </c>
      <c r="C74">
        <v>80</v>
      </c>
      <c r="D74" s="26">
        <v>45785</v>
      </c>
    </row>
    <row r="75" spans="1:4">
      <c r="A75">
        <v>74</v>
      </c>
      <c r="B75">
        <v>24</v>
      </c>
      <c r="C75">
        <v>14</v>
      </c>
      <c r="D75" s="26">
        <v>45554</v>
      </c>
    </row>
    <row r="76" spans="1:4">
      <c r="A76">
        <v>75</v>
      </c>
      <c r="B76">
        <v>16</v>
      </c>
      <c r="C76">
        <v>146</v>
      </c>
      <c r="D76" s="26">
        <v>45572</v>
      </c>
    </row>
    <row r="77" spans="1:4">
      <c r="A77">
        <v>76</v>
      </c>
      <c r="B77">
        <v>30</v>
      </c>
      <c r="C77">
        <v>129</v>
      </c>
      <c r="D77" s="26">
        <v>45835</v>
      </c>
    </row>
    <row r="78" spans="1:4">
      <c r="A78">
        <v>77</v>
      </c>
      <c r="B78">
        <v>17</v>
      </c>
      <c r="C78">
        <v>90</v>
      </c>
      <c r="D78" s="26">
        <v>45715</v>
      </c>
    </row>
    <row r="79" spans="1:4">
      <c r="A79">
        <v>78</v>
      </c>
      <c r="B79">
        <v>27</v>
      </c>
      <c r="C79">
        <v>125</v>
      </c>
      <c r="D79" s="26">
        <v>45743</v>
      </c>
    </row>
    <row r="80" spans="1:4">
      <c r="A80">
        <v>79</v>
      </c>
      <c r="B80">
        <v>14</v>
      </c>
      <c r="C80">
        <v>193</v>
      </c>
      <c r="D80" s="26">
        <v>45717</v>
      </c>
    </row>
    <row r="81" spans="1:4">
      <c r="A81">
        <v>80</v>
      </c>
      <c r="B81">
        <v>30</v>
      </c>
      <c r="C81">
        <v>160</v>
      </c>
      <c r="D81" s="26">
        <v>45575</v>
      </c>
    </row>
    <row r="82" spans="1:4">
      <c r="A82">
        <v>81</v>
      </c>
      <c r="B82">
        <v>48</v>
      </c>
      <c r="C82">
        <v>48</v>
      </c>
      <c r="D82" s="26">
        <v>45787</v>
      </c>
    </row>
    <row r="83" spans="1:4">
      <c r="A83">
        <v>82</v>
      </c>
      <c r="B83">
        <v>36</v>
      </c>
      <c r="C83">
        <v>53</v>
      </c>
      <c r="D83" s="26">
        <v>45833</v>
      </c>
    </row>
    <row r="84" spans="1:4">
      <c r="A84">
        <v>83</v>
      </c>
      <c r="B84">
        <v>22</v>
      </c>
      <c r="C84">
        <v>131</v>
      </c>
      <c r="D84" s="26">
        <v>45891</v>
      </c>
    </row>
    <row r="85" spans="1:4">
      <c r="A85">
        <v>84</v>
      </c>
      <c r="B85">
        <v>45</v>
      </c>
      <c r="C85">
        <v>147</v>
      </c>
      <c r="D85" s="26">
        <v>45822</v>
      </c>
    </row>
    <row r="86" spans="1:4">
      <c r="A86">
        <v>85</v>
      </c>
      <c r="B86">
        <v>27</v>
      </c>
      <c r="C86">
        <v>109</v>
      </c>
      <c r="D86" s="26">
        <v>45675</v>
      </c>
    </row>
    <row r="87" spans="1:4">
      <c r="A87">
        <v>86</v>
      </c>
      <c r="B87">
        <v>25</v>
      </c>
      <c r="C87">
        <v>65</v>
      </c>
      <c r="D87" s="26">
        <v>45759</v>
      </c>
    </row>
    <row r="88" spans="1:4">
      <c r="A88">
        <v>87</v>
      </c>
      <c r="B88">
        <v>11</v>
      </c>
      <c r="C88">
        <v>191</v>
      </c>
      <c r="D88" s="26">
        <v>45758</v>
      </c>
    </row>
    <row r="89" spans="1:4">
      <c r="A89">
        <v>88</v>
      </c>
      <c r="B89">
        <v>21</v>
      </c>
      <c r="C89">
        <v>85</v>
      </c>
      <c r="D89" s="26">
        <v>45888</v>
      </c>
    </row>
    <row r="90" spans="1:4">
      <c r="A90">
        <v>89</v>
      </c>
      <c r="B90">
        <v>4</v>
      </c>
      <c r="C90">
        <v>192</v>
      </c>
      <c r="D90" s="26">
        <v>45564</v>
      </c>
    </row>
    <row r="91" spans="1:4">
      <c r="A91">
        <v>90</v>
      </c>
      <c r="B91">
        <v>17</v>
      </c>
      <c r="C91">
        <v>18</v>
      </c>
      <c r="D91" s="26">
        <v>45703</v>
      </c>
    </row>
    <row r="92" spans="1:4">
      <c r="A92">
        <v>91</v>
      </c>
      <c r="B92">
        <v>43</v>
      </c>
      <c r="C92">
        <v>183</v>
      </c>
      <c r="D92" s="26">
        <v>45674</v>
      </c>
    </row>
    <row r="93" spans="1:4">
      <c r="A93">
        <v>92</v>
      </c>
      <c r="B93">
        <v>22</v>
      </c>
      <c r="C93">
        <v>146</v>
      </c>
      <c r="D93" s="26">
        <v>45729</v>
      </c>
    </row>
    <row r="94" spans="1:4">
      <c r="A94">
        <v>93</v>
      </c>
      <c r="B94">
        <v>47</v>
      </c>
      <c r="C94">
        <v>62</v>
      </c>
      <c r="D94" s="26">
        <v>45609</v>
      </c>
    </row>
    <row r="95" spans="1:4">
      <c r="A95">
        <v>94</v>
      </c>
      <c r="B95">
        <v>43</v>
      </c>
      <c r="C95">
        <v>104</v>
      </c>
      <c r="D95" s="26">
        <v>45686</v>
      </c>
    </row>
    <row r="96" spans="1:4">
      <c r="A96">
        <v>95</v>
      </c>
      <c r="B96">
        <v>46</v>
      </c>
      <c r="C96">
        <v>130</v>
      </c>
      <c r="D96" s="26">
        <v>45804</v>
      </c>
    </row>
    <row r="97" spans="1:4">
      <c r="A97">
        <v>96</v>
      </c>
      <c r="B97">
        <v>41</v>
      </c>
      <c r="C97">
        <v>100</v>
      </c>
      <c r="D97" s="26">
        <v>45842</v>
      </c>
    </row>
    <row r="98" spans="1:4">
      <c r="A98">
        <v>97</v>
      </c>
      <c r="B98">
        <v>13</v>
      </c>
      <c r="C98">
        <v>189</v>
      </c>
      <c r="D98" s="26">
        <v>45707</v>
      </c>
    </row>
    <row r="99" spans="1:4">
      <c r="A99">
        <v>98</v>
      </c>
      <c r="B99">
        <v>45</v>
      </c>
      <c r="C99">
        <v>58</v>
      </c>
      <c r="D99" s="26">
        <v>45566</v>
      </c>
    </row>
    <row r="100" spans="1:4">
      <c r="A100">
        <v>99</v>
      </c>
      <c r="B100">
        <v>35</v>
      </c>
      <c r="C100">
        <v>52</v>
      </c>
      <c r="D100" s="26">
        <v>45747</v>
      </c>
    </row>
    <row r="101" spans="1:4">
      <c r="A101">
        <v>100</v>
      </c>
      <c r="B101">
        <v>40</v>
      </c>
      <c r="C101">
        <v>51</v>
      </c>
      <c r="D101" s="26">
        <v>45630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20" sqref="N20"/>
    </sheetView>
  </sheetViews>
  <sheetFormatPr defaultColWidth="8.88888888888889" defaultRowHeight="14.4"/>
  <cols>
    <col min="1" max="1" width="12.2222222222222"/>
    <col min="2" max="4" width="21.2222222222222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A1" sqref="A1:Q151"/>
    </sheetView>
  </sheetViews>
  <sheetFormatPr defaultColWidth="8.88888888888889" defaultRowHeight="14.4"/>
  <cols>
    <col min="3" max="3" width="18.3333333333333" customWidth="1"/>
    <col min="4" max="4" width="10.5555555555556" style="2" customWidth="1"/>
    <col min="5" max="5" width="17.4444444444444" customWidth="1"/>
    <col min="6" max="6" width="19.5555555555556" customWidth="1"/>
    <col min="7" max="7" width="11.7777777777778" customWidth="1"/>
    <col min="8" max="8" width="16.6666666666667" style="3" customWidth="1"/>
    <col min="12" max="12" width="16.7777777777778" customWidth="1"/>
    <col min="13" max="13" width="12.3333333333333" customWidth="1"/>
    <col min="14" max="16" width="9"/>
    <col min="17" max="17" width="16.7777777777778" customWidth="1"/>
  </cols>
  <sheetData>
    <row r="1" spans="1:17">
      <c r="A1" s="4" t="s">
        <v>2</v>
      </c>
      <c r="B1" s="4" t="s">
        <v>125</v>
      </c>
      <c r="C1" s="4" t="s">
        <v>126</v>
      </c>
      <c r="D1" s="5" t="s">
        <v>127</v>
      </c>
      <c r="E1" s="4" t="s">
        <v>128</v>
      </c>
      <c r="F1" t="s">
        <v>287</v>
      </c>
      <c r="G1" t="s">
        <v>288</v>
      </c>
      <c r="H1" s="3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s="4" t="s">
        <v>1</v>
      </c>
      <c r="O1" s="4" t="s">
        <v>283</v>
      </c>
      <c r="P1" s="4" t="s">
        <v>0</v>
      </c>
      <c r="Q1" s="4" t="s">
        <v>286</v>
      </c>
    </row>
    <row r="2" ht="16.2" spans="1:17">
      <c r="A2">
        <v>1</v>
      </c>
      <c r="B2" t="s">
        <v>129</v>
      </c>
      <c r="C2" t="s">
        <v>130</v>
      </c>
      <c r="D2" s="2">
        <v>45335</v>
      </c>
      <c r="E2" t="s">
        <v>131</v>
      </c>
      <c r="F2" s="6" t="s">
        <v>295</v>
      </c>
      <c r="G2" s="7">
        <f>COUNTIF(Posts!B:B,Users!A2)</f>
        <v>2</v>
      </c>
      <c r="H2" s="8">
        <f>AVERAGEIF(Posts!B:B,Users!A2,Posts!C:C)</f>
        <v>47</v>
      </c>
      <c r="I2" s="14">
        <f>COUNTIF(Likes!B:B,Users!A2)</f>
        <v>6</v>
      </c>
      <c r="J2" s="14">
        <f>COUNTIF(Comments!C:C,Users!A2)</f>
        <v>5</v>
      </c>
      <c r="K2" s="15">
        <f t="shared" ref="K2:K33" si="0">SUM(I2+J2)</f>
        <v>11</v>
      </c>
      <c r="L2" s="16" t="str">
        <f>_xlfn.XLOOKUP(Comments!C2,Users!A:A,Users!B:B,"Not Found")</f>
        <v>lindadelgado</v>
      </c>
      <c r="M2" s="17">
        <f ca="1">DATEDIF(Friendships!D2,TODAY(),"M")</f>
        <v>5</v>
      </c>
      <c r="N2">
        <v>1</v>
      </c>
      <c r="O2">
        <v>1</v>
      </c>
      <c r="P2">
        <v>1</v>
      </c>
      <c r="Q2" s="26">
        <v>45659</v>
      </c>
    </row>
    <row r="3" spans="1:17">
      <c r="A3">
        <v>2</v>
      </c>
      <c r="B3" t="s">
        <v>132</v>
      </c>
      <c r="C3" t="s">
        <v>133</v>
      </c>
      <c r="D3" s="2">
        <v>45317</v>
      </c>
      <c r="E3" t="s">
        <v>134</v>
      </c>
      <c r="F3" s="9" t="s">
        <v>296</v>
      </c>
      <c r="G3" s="10">
        <f>COUNTIF(Posts!B:B,Users!A3)</f>
        <v>2</v>
      </c>
      <c r="H3" s="8">
        <f>AVERAGEIF(Posts!B:B,Users!A3,Posts!C:C)</f>
        <v>145.5</v>
      </c>
      <c r="I3" s="18">
        <f>COUNTIF(Likes!B:B,Users!A3)</f>
        <v>1</v>
      </c>
      <c r="J3" s="19">
        <f>COUNTIF(Comments!C:C,Users!A3)</f>
        <v>1</v>
      </c>
      <c r="K3" s="19">
        <f t="shared" si="0"/>
        <v>2</v>
      </c>
      <c r="L3" s="20" t="str">
        <f>_xlfn.XLOOKUP(Comments!C3,Users!A:A,Users!B:B,"Not Found")</f>
        <v>kristendecker</v>
      </c>
      <c r="M3" s="21">
        <f ca="1">DATEDIF(Friendships!D3,TODAY(),"M")</f>
        <v>8</v>
      </c>
      <c r="N3">
        <v>2</v>
      </c>
      <c r="O3">
        <v>2</v>
      </c>
      <c r="P3">
        <v>2</v>
      </c>
      <c r="Q3" s="26">
        <v>45647</v>
      </c>
    </row>
    <row r="4" spans="1:17">
      <c r="A4">
        <v>3</v>
      </c>
      <c r="B4" t="s">
        <v>135</v>
      </c>
      <c r="C4" t="s">
        <v>136</v>
      </c>
      <c r="D4" s="2">
        <v>45238</v>
      </c>
      <c r="E4" t="s">
        <v>137</v>
      </c>
      <c r="F4" s="9" t="s">
        <v>297</v>
      </c>
      <c r="G4" s="10">
        <f>COUNTIF(Posts!B:B,Users!A4)</f>
        <v>2</v>
      </c>
      <c r="H4" s="8">
        <f>AVERAGEIF(Posts!B:B,Users!A4,Posts!C:C)</f>
        <v>83</v>
      </c>
      <c r="I4" s="22">
        <f>COUNTIF(Likes!B:B,Users!A4)</f>
        <v>2</v>
      </c>
      <c r="J4" s="23">
        <f>COUNTIF(Comments!C:C,Users!A4)</f>
        <v>3</v>
      </c>
      <c r="K4" s="23">
        <f t="shared" si="0"/>
        <v>5</v>
      </c>
      <c r="L4" s="9" t="str">
        <f>_xlfn.XLOOKUP(Comments!C4,Users!A:A,Users!B:B,"Not Found")</f>
        <v>privera</v>
      </c>
      <c r="M4" s="24">
        <f ca="1">DATEDIF(Friendships!D4,TODAY(),"M")</f>
        <v>3</v>
      </c>
      <c r="N4">
        <v>3</v>
      </c>
      <c r="O4">
        <v>3</v>
      </c>
      <c r="P4">
        <v>3</v>
      </c>
      <c r="Q4" s="26">
        <v>45624</v>
      </c>
    </row>
    <row r="5" spans="1:17">
      <c r="A5">
        <v>4</v>
      </c>
      <c r="B5" t="s">
        <v>138</v>
      </c>
      <c r="C5" t="s">
        <v>139</v>
      </c>
      <c r="D5" s="2">
        <v>45768</v>
      </c>
      <c r="E5" t="s">
        <v>140</v>
      </c>
      <c r="F5" s="9" t="s">
        <v>298</v>
      </c>
      <c r="G5" s="10">
        <f>COUNTIF(Posts!B:B,Users!A5)</f>
        <v>2</v>
      </c>
      <c r="H5" s="8">
        <f>AVERAGEIF(Posts!B:B,Users!A5,Posts!C:C)</f>
        <v>136</v>
      </c>
      <c r="I5" s="22">
        <f>COUNTIF(Likes!B:B,Users!A5)</f>
        <v>5</v>
      </c>
      <c r="J5" s="23">
        <f>COUNTIF(Comments!C:C,Users!A5)</f>
        <v>3</v>
      </c>
      <c r="K5" s="23">
        <f t="shared" si="0"/>
        <v>8</v>
      </c>
      <c r="L5" s="9" t="str">
        <f>_xlfn.XLOOKUP(Comments!C5,Users!A:A,Users!B:B,"Not Found")</f>
        <v>daniel14</v>
      </c>
      <c r="M5" s="24">
        <f ca="1">DATEDIF(Friendships!D5,TODAY(),"M")</f>
        <v>3</v>
      </c>
      <c r="N5">
        <v>4</v>
      </c>
      <c r="O5">
        <v>4</v>
      </c>
      <c r="P5">
        <v>4</v>
      </c>
      <c r="Q5" s="26">
        <v>45624</v>
      </c>
    </row>
    <row r="6" spans="1:17">
      <c r="A6">
        <v>5</v>
      </c>
      <c r="B6" t="s">
        <v>141</v>
      </c>
      <c r="C6" t="s">
        <v>142</v>
      </c>
      <c r="D6" s="2">
        <v>45848</v>
      </c>
      <c r="E6" t="s">
        <v>143</v>
      </c>
      <c r="F6" s="9" t="s">
        <v>299</v>
      </c>
      <c r="G6" s="10">
        <f>COUNTIF(Posts!B:B,Users!A6)</f>
        <v>2</v>
      </c>
      <c r="H6" s="8">
        <f>AVERAGEIF(Posts!B:B,Users!A6,Posts!C:C)</f>
        <v>75</v>
      </c>
      <c r="I6" s="22">
        <f>COUNTIF(Likes!B:B,Users!A6)</f>
        <v>2</v>
      </c>
      <c r="J6" s="24">
        <f>COUNTIF(Comments!C:C,Users!A6)</f>
        <v>1</v>
      </c>
      <c r="K6" s="24">
        <f t="shared" si="0"/>
        <v>3</v>
      </c>
      <c r="L6" s="24" t="str">
        <f>_xlfn.XLOOKUP(Comments!C6,Users!A:A,Users!B:B,"Not Found")</f>
        <v>rebeccapacheco</v>
      </c>
      <c r="M6" s="24">
        <f ca="1">DATEDIF(Friendships!D6,TODAY(),"M")</f>
        <v>17</v>
      </c>
      <c r="N6">
        <v>5</v>
      </c>
      <c r="O6">
        <v>5</v>
      </c>
      <c r="P6">
        <v>5</v>
      </c>
      <c r="Q6" s="26">
        <v>45841</v>
      </c>
    </row>
    <row r="7" spans="1:17">
      <c r="A7">
        <v>6</v>
      </c>
      <c r="B7" t="s">
        <v>144</v>
      </c>
      <c r="C7" t="s">
        <v>145</v>
      </c>
      <c r="D7" s="2">
        <v>45536</v>
      </c>
      <c r="E7" t="s">
        <v>146</v>
      </c>
      <c r="F7" s="9" t="s">
        <v>298</v>
      </c>
      <c r="G7" s="10">
        <f>COUNTIF(Posts!B:B,Users!A7)</f>
        <v>2</v>
      </c>
      <c r="H7" s="11">
        <f>AVERAGEIF(Posts!B:B,Users!A7,Posts!C:C)</f>
        <v>47.5</v>
      </c>
      <c r="I7" s="23">
        <f>COUNTIF(Likes!B:B,Users!A7)</f>
        <v>2</v>
      </c>
      <c r="J7" s="24">
        <f>COUNTIF(Comments!C:C,Users!A7)</f>
        <v>2</v>
      </c>
      <c r="K7" s="24">
        <f t="shared" si="0"/>
        <v>4</v>
      </c>
      <c r="L7" s="24" t="str">
        <f>_xlfn.XLOOKUP(Comments!C7,Users!A:A,Users!B:B,"Not Found")</f>
        <v>ericabaker</v>
      </c>
      <c r="M7" s="24">
        <f ca="1">DATEDIF(Friendships!D7,TODAY(),"M")</f>
        <v>11</v>
      </c>
      <c r="N7">
        <v>6</v>
      </c>
      <c r="O7">
        <v>6</v>
      </c>
      <c r="P7">
        <v>6</v>
      </c>
      <c r="Q7" s="26">
        <v>45887</v>
      </c>
    </row>
    <row r="8" spans="1:17">
      <c r="A8">
        <v>7</v>
      </c>
      <c r="B8" t="s">
        <v>147</v>
      </c>
      <c r="C8" t="s">
        <v>148</v>
      </c>
      <c r="D8" s="2">
        <v>45193</v>
      </c>
      <c r="E8" t="s">
        <v>149</v>
      </c>
      <c r="F8" s="9" t="s">
        <v>300</v>
      </c>
      <c r="G8" s="10">
        <f>COUNTIF(Posts!B:B,Users!A8)</f>
        <v>2</v>
      </c>
      <c r="H8" s="11">
        <f>AVERAGEIF(Posts!B:B,Users!A8,Posts!C:C)</f>
        <v>95.5</v>
      </c>
      <c r="I8" s="23">
        <f>COUNTIF(Likes!B:B,Users!A8)</f>
        <v>5</v>
      </c>
      <c r="J8" s="24">
        <f>COUNTIF(Comments!C:C,Users!A8)</f>
        <v>3</v>
      </c>
      <c r="K8" s="24">
        <f t="shared" si="0"/>
        <v>8</v>
      </c>
      <c r="L8" s="24" t="str">
        <f>_xlfn.XLOOKUP(Comments!C8,Users!A:A,Users!B:B,"Not Found")</f>
        <v>rebeccapacheco</v>
      </c>
      <c r="M8" s="24">
        <f ca="1">DATEDIF(Friendships!D8,TODAY(),"M")</f>
        <v>13</v>
      </c>
      <c r="N8">
        <v>7</v>
      </c>
      <c r="O8">
        <v>7</v>
      </c>
      <c r="P8">
        <v>7</v>
      </c>
      <c r="Q8" s="26">
        <v>45737</v>
      </c>
    </row>
    <row r="9" spans="1:17">
      <c r="A9">
        <v>8</v>
      </c>
      <c r="B9" t="s">
        <v>150</v>
      </c>
      <c r="C9" t="s">
        <v>151</v>
      </c>
      <c r="D9" s="2">
        <v>45629</v>
      </c>
      <c r="E9" t="s">
        <v>152</v>
      </c>
      <c r="F9" s="9" t="s">
        <v>301</v>
      </c>
      <c r="G9" s="10">
        <f>COUNTIF(Posts!B:B,Users!A9)</f>
        <v>4</v>
      </c>
      <c r="H9" s="11">
        <f>AVERAGEIF(Posts!B:B,Users!A9,Posts!C:C)</f>
        <v>116.25</v>
      </c>
      <c r="I9" s="23">
        <f>COUNTIF(Likes!B:B,Users!A9)</f>
        <v>2</v>
      </c>
      <c r="J9" s="24">
        <f>COUNTIF(Comments!C:C,Users!A9)</f>
        <v>2</v>
      </c>
      <c r="K9" s="24">
        <f t="shared" si="0"/>
        <v>4</v>
      </c>
      <c r="L9" s="24" t="str">
        <f>_xlfn.XLOOKUP(Comments!C9,Users!A:A,Users!B:B,"Not Found")</f>
        <v>oromero</v>
      </c>
      <c r="M9" s="24">
        <f ca="1">DATEDIF(Friendships!D9,TODAY(),"M")</f>
        <v>4</v>
      </c>
      <c r="N9">
        <v>8</v>
      </c>
      <c r="O9">
        <v>8</v>
      </c>
      <c r="P9">
        <v>8</v>
      </c>
      <c r="Q9" s="26">
        <v>45551</v>
      </c>
    </row>
    <row r="10" spans="1:17">
      <c r="A10">
        <v>9</v>
      </c>
      <c r="B10" t="s">
        <v>153</v>
      </c>
      <c r="C10" t="s">
        <v>154</v>
      </c>
      <c r="D10" s="2">
        <v>45376</v>
      </c>
      <c r="E10" t="s">
        <v>155</v>
      </c>
      <c r="F10" s="12" t="s">
        <v>302</v>
      </c>
      <c r="G10" s="12">
        <f>COUNTIF(Posts!B:B,Users!A10)</f>
        <v>2</v>
      </c>
      <c r="H10" s="13">
        <f>AVERAGEIF(Posts!B:B,Users!A10,Posts!C:C)</f>
        <v>117</v>
      </c>
      <c r="I10" s="24">
        <f>COUNTIF(Likes!B:B,Users!A10)</f>
        <v>0</v>
      </c>
      <c r="J10" s="24">
        <f>COUNTIF(Comments!C:C,Users!A10)</f>
        <v>2</v>
      </c>
      <c r="K10" s="24">
        <f t="shared" si="0"/>
        <v>2</v>
      </c>
      <c r="L10" s="24" t="str">
        <f>_xlfn.XLOOKUP(Comments!C10,Users!A:A,Users!B:B,"Not Found")</f>
        <v>joshuatucker</v>
      </c>
      <c r="M10" s="24">
        <f ca="1">DATEDIF(Friendships!D10,TODAY(),"M")</f>
        <v>15</v>
      </c>
      <c r="N10">
        <v>9</v>
      </c>
      <c r="O10">
        <v>9</v>
      </c>
      <c r="P10">
        <v>9</v>
      </c>
      <c r="Q10" s="26">
        <v>45779</v>
      </c>
    </row>
    <row r="11" spans="1:17">
      <c r="A11">
        <v>10</v>
      </c>
      <c r="B11" t="s">
        <v>156</v>
      </c>
      <c r="C11" t="s">
        <v>157</v>
      </c>
      <c r="D11" s="2">
        <v>45344</v>
      </c>
      <c r="E11" t="s">
        <v>158</v>
      </c>
      <c r="F11" s="12" t="s">
        <v>298</v>
      </c>
      <c r="G11" s="12">
        <f>COUNTIF(Posts!B:B,Users!A11)</f>
        <v>0</v>
      </c>
      <c r="H11" s="13">
        <v>0</v>
      </c>
      <c r="I11" s="24">
        <f>COUNTIF(Likes!B:B,Users!A11)</f>
        <v>7</v>
      </c>
      <c r="J11" s="24">
        <f>COUNTIF(Comments!C:C,Users!A11)</f>
        <v>1</v>
      </c>
      <c r="K11" s="24">
        <f t="shared" si="0"/>
        <v>8</v>
      </c>
      <c r="L11" s="24" t="str">
        <f>_xlfn.XLOOKUP(Comments!C11,Users!A:A,Users!B:B,"Not Found")</f>
        <v>bassjason</v>
      </c>
      <c r="M11" s="24">
        <f ca="1">DATEDIF(Friendships!D11,TODAY(),"M")</f>
        <v>19</v>
      </c>
      <c r="N11">
        <v>10</v>
      </c>
      <c r="O11">
        <v>10</v>
      </c>
      <c r="P11">
        <v>10</v>
      </c>
      <c r="Q11" s="26">
        <v>45703</v>
      </c>
    </row>
    <row r="12" spans="1:17">
      <c r="A12">
        <v>11</v>
      </c>
      <c r="B12" t="s">
        <v>159</v>
      </c>
      <c r="C12" t="s">
        <v>160</v>
      </c>
      <c r="D12" s="2">
        <v>45554</v>
      </c>
      <c r="E12" t="s">
        <v>161</v>
      </c>
      <c r="F12" s="12" t="s">
        <v>303</v>
      </c>
      <c r="G12" s="12">
        <f>COUNTIF(Posts!B:B,Users!A12)</f>
        <v>6</v>
      </c>
      <c r="H12" s="13">
        <f>AVERAGEIF(Posts!B:B,Users!A12,Posts!C:C)</f>
        <v>124.833333333333</v>
      </c>
      <c r="I12" s="24">
        <f>COUNTIF(Likes!B:B,Users!A12)</f>
        <v>3</v>
      </c>
      <c r="J12" s="24">
        <f>COUNTIF(Comments!C:C,Users!A12)</f>
        <v>0</v>
      </c>
      <c r="K12" s="24">
        <f t="shared" si="0"/>
        <v>3</v>
      </c>
      <c r="L12" s="24" t="str">
        <f>_xlfn.XLOOKUP(Comments!C12,Users!A:A,Users!B:B,"Not Found")</f>
        <v>ghogan</v>
      </c>
      <c r="M12" s="24">
        <f ca="1">DATEDIF(Friendships!D12,TODAY(),"M")</f>
        <v>23</v>
      </c>
      <c r="N12">
        <v>11</v>
      </c>
      <c r="O12">
        <v>11</v>
      </c>
      <c r="P12">
        <v>11</v>
      </c>
      <c r="Q12" s="26">
        <v>45694</v>
      </c>
    </row>
    <row r="13" spans="1:17">
      <c r="A13">
        <v>12</v>
      </c>
      <c r="B13" t="s">
        <v>162</v>
      </c>
      <c r="C13" t="s">
        <v>163</v>
      </c>
      <c r="D13" s="2">
        <v>45394</v>
      </c>
      <c r="E13" t="s">
        <v>164</v>
      </c>
      <c r="F13" s="12" t="s">
        <v>295</v>
      </c>
      <c r="G13" s="12">
        <f>COUNTIF(Posts!B:B,Users!A13)</f>
        <v>1</v>
      </c>
      <c r="H13" s="13">
        <f>AVERAGEIF(Posts!B:B,Users!A13,Posts!C:C)</f>
        <v>114</v>
      </c>
      <c r="I13" s="24">
        <f>COUNTIF(Likes!B:B,Users!A13)</f>
        <v>0</v>
      </c>
      <c r="J13" s="24">
        <f>COUNTIF(Comments!C:C,Users!A13)</f>
        <v>2</v>
      </c>
      <c r="K13" s="24">
        <f t="shared" si="0"/>
        <v>2</v>
      </c>
      <c r="L13" s="24" t="str">
        <f>_xlfn.XLOOKUP(Comments!C13,Users!A:A,Users!B:B,"Not Found")</f>
        <v>pgarcia</v>
      </c>
      <c r="M13" s="24">
        <f ca="1">DATEDIF(Friendships!D13,TODAY(),"M")</f>
        <v>5</v>
      </c>
      <c r="N13">
        <v>12</v>
      </c>
      <c r="O13">
        <v>12</v>
      </c>
      <c r="P13">
        <v>12</v>
      </c>
      <c r="Q13" s="26">
        <v>45728</v>
      </c>
    </row>
    <row r="14" spans="1:17">
      <c r="A14">
        <v>13</v>
      </c>
      <c r="B14" t="s">
        <v>165</v>
      </c>
      <c r="C14" t="s">
        <v>166</v>
      </c>
      <c r="D14" s="2">
        <v>45596</v>
      </c>
      <c r="E14" t="s">
        <v>167</v>
      </c>
      <c r="F14" s="12" t="s">
        <v>304</v>
      </c>
      <c r="G14" s="12">
        <f>COUNTIF(Posts!B:B,Users!A14)</f>
        <v>3</v>
      </c>
      <c r="H14" s="13">
        <f>AVERAGEIF(Posts!B:B,Users!A14,Posts!C:C)</f>
        <v>149.666666666667</v>
      </c>
      <c r="I14" s="24">
        <f>COUNTIF(Likes!B:B,Users!A14)</f>
        <v>3</v>
      </c>
      <c r="J14" s="24">
        <f>COUNTIF(Comments!C:C,Users!A14)</f>
        <v>1</v>
      </c>
      <c r="K14" s="24">
        <f t="shared" si="0"/>
        <v>4</v>
      </c>
      <c r="L14" s="24" t="str">
        <f>_xlfn.XLOOKUP(Comments!C14,Users!A:A,Users!B:B,"Not Found")</f>
        <v>kristendecker</v>
      </c>
      <c r="M14" s="24">
        <f ca="1">DATEDIF(Friendships!D14,TODAY(),"M")</f>
        <v>20</v>
      </c>
      <c r="N14">
        <v>13</v>
      </c>
      <c r="O14">
        <v>13</v>
      </c>
      <c r="P14">
        <v>13</v>
      </c>
      <c r="Q14" s="26">
        <v>45850</v>
      </c>
    </row>
    <row r="15" spans="1:17">
      <c r="A15">
        <v>14</v>
      </c>
      <c r="B15" t="s">
        <v>168</v>
      </c>
      <c r="C15" t="s">
        <v>169</v>
      </c>
      <c r="D15" s="2">
        <v>45820</v>
      </c>
      <c r="E15" t="s">
        <v>170</v>
      </c>
      <c r="F15" s="12" t="s">
        <v>305</v>
      </c>
      <c r="G15" s="12">
        <f>COUNTIF(Posts!B:B,Users!A15)</f>
        <v>2</v>
      </c>
      <c r="H15" s="13">
        <f>AVERAGEIF(Posts!B:B,Users!A15,Posts!C:C)</f>
        <v>131.5</v>
      </c>
      <c r="I15" s="24">
        <f>COUNTIF(Likes!B:B,Users!A15)</f>
        <v>4</v>
      </c>
      <c r="J15" s="24">
        <f>COUNTIF(Comments!C:C,Users!A15)</f>
        <v>1</v>
      </c>
      <c r="K15" s="24">
        <f t="shared" si="0"/>
        <v>5</v>
      </c>
      <c r="L15" s="24" t="str">
        <f>_xlfn.XLOOKUP(Comments!C15,Users!A:A,Users!B:B,"Not Found")</f>
        <v>taylorclark</v>
      </c>
      <c r="M15" s="24">
        <f ca="1">DATEDIF(Friendships!D15,TODAY(),"M")</f>
        <v>15</v>
      </c>
      <c r="N15">
        <v>14</v>
      </c>
      <c r="O15">
        <v>14</v>
      </c>
      <c r="P15">
        <v>14</v>
      </c>
      <c r="Q15" s="26">
        <v>45554</v>
      </c>
    </row>
    <row r="16" spans="1:17">
      <c r="A16">
        <v>15</v>
      </c>
      <c r="B16" t="s">
        <v>171</v>
      </c>
      <c r="C16" t="s">
        <v>172</v>
      </c>
      <c r="D16" s="2">
        <v>45476</v>
      </c>
      <c r="E16" t="s">
        <v>173</v>
      </c>
      <c r="F16" s="12" t="s">
        <v>306</v>
      </c>
      <c r="G16" s="12">
        <f>COUNTIF(Posts!B:B,Users!A16)</f>
        <v>1</v>
      </c>
      <c r="H16" s="13">
        <f>AVERAGEIF(Posts!B:B,Users!A16,Posts!C:C)</f>
        <v>43</v>
      </c>
      <c r="I16" s="24">
        <f>COUNTIF(Likes!B:B,Users!A16)</f>
        <v>2</v>
      </c>
      <c r="J16" s="24">
        <f>COUNTIF(Comments!C:C,Users!A16)</f>
        <v>1</v>
      </c>
      <c r="K16" s="24">
        <f t="shared" si="0"/>
        <v>3</v>
      </c>
      <c r="L16" s="24" t="str">
        <f>_xlfn.XLOOKUP(Comments!C16,Users!A:A,Users!B:B,"Not Found")</f>
        <v>ghogan</v>
      </c>
      <c r="M16" s="24">
        <f ca="1">DATEDIF(Friendships!D16,TODAY(),"M")</f>
        <v>4</v>
      </c>
      <c r="N16">
        <v>15</v>
      </c>
      <c r="O16">
        <v>15</v>
      </c>
      <c r="P16">
        <v>15</v>
      </c>
      <c r="Q16" s="26">
        <v>45776</v>
      </c>
    </row>
    <row r="17" spans="1:17">
      <c r="A17">
        <v>16</v>
      </c>
      <c r="B17" t="s">
        <v>174</v>
      </c>
      <c r="C17" t="s">
        <v>175</v>
      </c>
      <c r="D17" s="2">
        <v>45372</v>
      </c>
      <c r="E17" t="s">
        <v>176</v>
      </c>
      <c r="F17" s="12" t="s">
        <v>307</v>
      </c>
      <c r="G17" s="12">
        <f>COUNTIF(Posts!B:B,Users!A17)</f>
        <v>2</v>
      </c>
      <c r="H17" s="13">
        <f>AVERAGEIF(Posts!B:B,Users!A17,Posts!C:C)</f>
        <v>81.5</v>
      </c>
      <c r="I17" s="24">
        <f>COUNTIF(Likes!B:B,Users!A17)</f>
        <v>2</v>
      </c>
      <c r="J17" s="24">
        <f>COUNTIF(Comments!C:C,Users!A17)</f>
        <v>5</v>
      </c>
      <c r="K17" s="24">
        <f t="shared" si="0"/>
        <v>7</v>
      </c>
      <c r="L17" s="24" t="str">
        <f>_xlfn.XLOOKUP(Comments!C17,Users!A:A,Users!B:B,"Not Found")</f>
        <v>vbutler</v>
      </c>
      <c r="M17" s="24">
        <f ca="1">DATEDIF(Friendships!D17,TODAY(),"M")</f>
        <v>20</v>
      </c>
      <c r="N17">
        <v>16</v>
      </c>
      <c r="O17">
        <v>16</v>
      </c>
      <c r="P17">
        <v>16</v>
      </c>
      <c r="Q17" s="26">
        <v>45705</v>
      </c>
    </row>
    <row r="18" spans="1:17">
      <c r="A18">
        <v>17</v>
      </c>
      <c r="B18" t="s">
        <v>177</v>
      </c>
      <c r="C18" t="s">
        <v>178</v>
      </c>
      <c r="D18" s="2">
        <v>45217</v>
      </c>
      <c r="E18" t="s">
        <v>179</v>
      </c>
      <c r="F18" s="12" t="s">
        <v>298</v>
      </c>
      <c r="G18" s="12">
        <f>COUNTIF(Posts!B:B,Users!A18)</f>
        <v>3</v>
      </c>
      <c r="H18" s="13">
        <f>AVERAGEIF(Posts!B:B,Users!A18,Posts!C:C)</f>
        <v>45.6666666666667</v>
      </c>
      <c r="I18" s="24">
        <f>COUNTIF(Likes!B:B,Users!A18)</f>
        <v>7</v>
      </c>
      <c r="J18" s="24">
        <f>COUNTIF(Comments!C:C,Users!A18)</f>
        <v>1</v>
      </c>
      <c r="K18" s="24">
        <f t="shared" si="0"/>
        <v>8</v>
      </c>
      <c r="L18" s="24" t="str">
        <f>_xlfn.XLOOKUP(Comments!C18,Users!A:A,Users!B:B,"Not Found")</f>
        <v>tiffanymoore</v>
      </c>
      <c r="M18" s="24">
        <f ca="1">DATEDIF(Friendships!D18,TODAY(),"M")</f>
        <v>23</v>
      </c>
      <c r="N18">
        <v>17</v>
      </c>
      <c r="O18">
        <v>17</v>
      </c>
      <c r="P18">
        <v>17</v>
      </c>
      <c r="Q18" s="26">
        <v>45760</v>
      </c>
    </row>
    <row r="19" spans="1:17">
      <c r="A19">
        <v>18</v>
      </c>
      <c r="B19" t="s">
        <v>180</v>
      </c>
      <c r="C19" t="s">
        <v>181</v>
      </c>
      <c r="D19" s="2">
        <v>45669</v>
      </c>
      <c r="E19" t="s">
        <v>182</v>
      </c>
      <c r="F19" s="12" t="s">
        <v>308</v>
      </c>
      <c r="G19" s="12">
        <f>COUNTIF(Posts!B:B,Users!A19)</f>
        <v>1</v>
      </c>
      <c r="H19" s="13">
        <f>AVERAGEIF(Posts!B:B,Users!A19,Posts!C:C)</f>
        <v>23</v>
      </c>
      <c r="I19" s="24">
        <f>COUNTIF(Likes!B:B,Users!A19)</f>
        <v>2</v>
      </c>
      <c r="J19" s="24">
        <f>COUNTIF(Comments!C:C,Users!A19)</f>
        <v>2</v>
      </c>
      <c r="K19" s="24">
        <f t="shared" si="0"/>
        <v>4</v>
      </c>
      <c r="L19" s="24" t="str">
        <f>_xlfn.XLOOKUP(Comments!C19,Users!A:A,Users!B:B,"Not Found")</f>
        <v>vbutler</v>
      </c>
      <c r="M19" s="24">
        <f ca="1">DATEDIF(Friendships!D19,TODAY(),"M")</f>
        <v>7</v>
      </c>
      <c r="N19">
        <v>18</v>
      </c>
      <c r="O19">
        <v>18</v>
      </c>
      <c r="P19">
        <v>18</v>
      </c>
      <c r="Q19" s="26">
        <v>45639</v>
      </c>
    </row>
    <row r="20" spans="1:17">
      <c r="A20">
        <v>19</v>
      </c>
      <c r="B20" t="s">
        <v>183</v>
      </c>
      <c r="C20" t="s">
        <v>184</v>
      </c>
      <c r="D20" s="2">
        <v>45526</v>
      </c>
      <c r="E20" t="s">
        <v>185</v>
      </c>
      <c r="F20" s="12" t="s">
        <v>298</v>
      </c>
      <c r="G20" s="12">
        <f>COUNTIF(Posts!B:B,Users!A20)</f>
        <v>4</v>
      </c>
      <c r="H20" s="13">
        <f>AVERAGEIF(Posts!B:B,Users!A20,Posts!C:C)</f>
        <v>107.25</v>
      </c>
      <c r="I20" s="24">
        <f>COUNTIF(Likes!B:B,Users!A20)</f>
        <v>1</v>
      </c>
      <c r="J20" s="24">
        <f>COUNTIF(Comments!C:C,Users!A20)</f>
        <v>2</v>
      </c>
      <c r="K20" s="24">
        <f t="shared" si="0"/>
        <v>3</v>
      </c>
      <c r="L20" s="24" t="str">
        <f>_xlfn.XLOOKUP(Comments!C20,Users!A:A,Users!B:B,"Not Found")</f>
        <v>vbutler</v>
      </c>
      <c r="M20" s="24">
        <f ca="1">DATEDIF(Friendships!D20,TODAY(),"M")</f>
        <v>19</v>
      </c>
      <c r="N20">
        <v>19</v>
      </c>
      <c r="O20">
        <v>19</v>
      </c>
      <c r="P20">
        <v>19</v>
      </c>
      <c r="Q20" s="26">
        <v>45794</v>
      </c>
    </row>
    <row r="21" spans="1:17">
      <c r="A21">
        <v>20</v>
      </c>
      <c r="B21" t="s">
        <v>186</v>
      </c>
      <c r="C21" t="s">
        <v>187</v>
      </c>
      <c r="D21" s="2">
        <v>45609</v>
      </c>
      <c r="E21" t="s">
        <v>188</v>
      </c>
      <c r="F21" s="12" t="s">
        <v>309</v>
      </c>
      <c r="G21" s="12">
        <f>COUNTIF(Posts!B:B,Users!A21)</f>
        <v>2</v>
      </c>
      <c r="H21" s="13">
        <f>AVERAGEIF(Posts!B:B,Users!A21,Posts!C:C)</f>
        <v>121</v>
      </c>
      <c r="I21" s="24">
        <f>COUNTIF(Likes!B:B,Users!A21)</f>
        <v>4</v>
      </c>
      <c r="J21" s="24">
        <f>COUNTIF(Comments!C:C,Users!A21)</f>
        <v>3</v>
      </c>
      <c r="K21" s="24">
        <f t="shared" si="0"/>
        <v>7</v>
      </c>
      <c r="L21" s="24" t="str">
        <f>_xlfn.XLOOKUP(Comments!C21,Users!A:A,Users!B:B,"Not Found")</f>
        <v>oromero</v>
      </c>
      <c r="M21" s="24">
        <f ca="1">DATEDIF(Friendships!D21,TODAY(),"M")</f>
        <v>7</v>
      </c>
      <c r="N21">
        <v>20</v>
      </c>
      <c r="O21">
        <v>20</v>
      </c>
      <c r="P21">
        <v>20</v>
      </c>
      <c r="Q21" s="26">
        <v>45621</v>
      </c>
    </row>
    <row r="22" spans="1:17">
      <c r="A22">
        <v>21</v>
      </c>
      <c r="B22" t="s">
        <v>189</v>
      </c>
      <c r="C22" t="s">
        <v>190</v>
      </c>
      <c r="D22" s="2">
        <v>45883</v>
      </c>
      <c r="E22" t="s">
        <v>191</v>
      </c>
      <c r="F22" s="12" t="s">
        <v>310</v>
      </c>
      <c r="G22" s="12">
        <f>COUNTIF(Posts!B:B,Users!A22)</f>
        <v>1</v>
      </c>
      <c r="H22" s="13">
        <f>AVERAGEIF(Posts!B:B,Users!A22,Posts!C:C)</f>
        <v>85</v>
      </c>
      <c r="I22" s="24">
        <f>COUNTIF(Likes!B:B,Users!A22)</f>
        <v>7</v>
      </c>
      <c r="J22" s="24">
        <f>COUNTIF(Comments!C:C,Users!A22)</f>
        <v>3</v>
      </c>
      <c r="K22" s="24">
        <f t="shared" si="0"/>
        <v>10</v>
      </c>
      <c r="L22" s="24" t="str">
        <f>_xlfn.XLOOKUP(Comments!C22,Users!A:A,Users!B:B,"Not Found")</f>
        <v>pgarcia</v>
      </c>
      <c r="M22" s="24">
        <f ca="1">DATEDIF(Friendships!D22,TODAY(),"M")</f>
        <v>16</v>
      </c>
      <c r="N22">
        <v>21</v>
      </c>
      <c r="O22">
        <v>21</v>
      </c>
      <c r="P22">
        <v>21</v>
      </c>
      <c r="Q22" s="26">
        <v>45801</v>
      </c>
    </row>
    <row r="23" spans="1:17">
      <c r="A23">
        <v>22</v>
      </c>
      <c r="B23" t="s">
        <v>192</v>
      </c>
      <c r="C23" t="s">
        <v>193</v>
      </c>
      <c r="D23" s="2">
        <v>45798</v>
      </c>
      <c r="E23" t="s">
        <v>194</v>
      </c>
      <c r="F23" s="12" t="s">
        <v>311</v>
      </c>
      <c r="G23" s="12">
        <f>COUNTIF(Posts!B:B,Users!A23)</f>
        <v>5</v>
      </c>
      <c r="H23" s="13">
        <f>AVERAGEIF(Posts!B:B,Users!A23,Posts!C:C)</f>
        <v>105.4</v>
      </c>
      <c r="I23" s="24">
        <f>COUNTIF(Likes!B:B,Users!A23)</f>
        <v>2</v>
      </c>
      <c r="J23" s="24">
        <f>COUNTIF(Comments!C:C,Users!A23)</f>
        <v>4</v>
      </c>
      <c r="K23" s="24">
        <f t="shared" si="0"/>
        <v>6</v>
      </c>
      <c r="L23" s="24" t="str">
        <f>_xlfn.XLOOKUP(Comments!C23,Users!A:A,Users!B:B,"Not Found")</f>
        <v>kristendecker</v>
      </c>
      <c r="M23" s="24">
        <f ca="1">DATEDIF(Friendships!D23,TODAY(),"M")</f>
        <v>13</v>
      </c>
      <c r="N23">
        <v>22</v>
      </c>
      <c r="O23">
        <v>22</v>
      </c>
      <c r="P23">
        <v>22</v>
      </c>
      <c r="Q23" s="26">
        <v>45750</v>
      </c>
    </row>
    <row r="24" spans="1:17">
      <c r="A24">
        <v>23</v>
      </c>
      <c r="B24" t="s">
        <v>195</v>
      </c>
      <c r="C24" t="s">
        <v>196</v>
      </c>
      <c r="D24" s="2">
        <v>45559</v>
      </c>
      <c r="E24" t="s">
        <v>197</v>
      </c>
      <c r="F24" s="12" t="s">
        <v>312</v>
      </c>
      <c r="G24" s="12">
        <f>COUNTIF(Posts!B:B,Users!A24)</f>
        <v>4</v>
      </c>
      <c r="H24" s="13">
        <f>AVERAGEIF(Posts!B:B,Users!A24,Posts!C:C)</f>
        <v>163.75</v>
      </c>
      <c r="I24" s="24">
        <f>COUNTIF(Likes!B:B,Users!A24)</f>
        <v>3</v>
      </c>
      <c r="J24" s="24">
        <f>COUNTIF(Comments!C:C,Users!A24)</f>
        <v>4</v>
      </c>
      <c r="K24" s="24">
        <f t="shared" si="0"/>
        <v>7</v>
      </c>
      <c r="L24" s="24" t="str">
        <f>_xlfn.XLOOKUP(Comments!C24,Users!A:A,Users!B:B,"Not Found")</f>
        <v>jonessydney</v>
      </c>
      <c r="M24" s="24">
        <f ca="1">DATEDIF(Friendships!D24,TODAY(),"M")</f>
        <v>19</v>
      </c>
      <c r="N24">
        <v>23</v>
      </c>
      <c r="O24">
        <v>23</v>
      </c>
      <c r="P24">
        <v>23</v>
      </c>
      <c r="Q24" s="26">
        <v>45566</v>
      </c>
    </row>
    <row r="25" spans="1:17">
      <c r="A25">
        <v>24</v>
      </c>
      <c r="B25" t="s">
        <v>198</v>
      </c>
      <c r="C25" t="s">
        <v>199</v>
      </c>
      <c r="D25" s="2">
        <v>45587</v>
      </c>
      <c r="E25" t="s">
        <v>200</v>
      </c>
      <c r="F25" s="12" t="s">
        <v>313</v>
      </c>
      <c r="G25" s="12">
        <f>COUNTIF(Posts!B:B,Users!A25)</f>
        <v>2</v>
      </c>
      <c r="H25" s="13">
        <f>AVERAGEIF(Posts!B:B,Users!A25,Posts!C:C)</f>
        <v>53.5</v>
      </c>
      <c r="I25" s="24">
        <f>COUNTIF(Likes!B:B,Users!A25)</f>
        <v>1</v>
      </c>
      <c r="J25" s="24">
        <f>COUNTIF(Comments!C:C,Users!A25)</f>
        <v>2</v>
      </c>
      <c r="K25" s="24">
        <f t="shared" si="0"/>
        <v>3</v>
      </c>
      <c r="L25" s="24" t="str">
        <f>_xlfn.XLOOKUP(Comments!C25,Users!A:A,Users!B:B,"Not Found")</f>
        <v>tiffanymoore</v>
      </c>
      <c r="M25" s="24">
        <f ca="1">DATEDIF(Friendships!D25,TODAY(),"M")</f>
        <v>11</v>
      </c>
      <c r="N25">
        <v>24</v>
      </c>
      <c r="O25">
        <v>24</v>
      </c>
      <c r="P25">
        <v>24</v>
      </c>
      <c r="Q25" s="26">
        <v>45691</v>
      </c>
    </row>
    <row r="26" spans="1:17">
      <c r="A26">
        <v>25</v>
      </c>
      <c r="B26" t="s">
        <v>201</v>
      </c>
      <c r="C26" t="s">
        <v>202</v>
      </c>
      <c r="D26" s="2">
        <v>45853</v>
      </c>
      <c r="E26" t="s">
        <v>203</v>
      </c>
      <c r="F26" s="12" t="s">
        <v>314</v>
      </c>
      <c r="G26" s="12">
        <f>COUNTIF(Posts!B:B,Users!A26)</f>
        <v>3</v>
      </c>
      <c r="H26" s="13">
        <f>AVERAGEIF(Posts!B:B,Users!A26,Posts!C:C)</f>
        <v>95.3333333333333</v>
      </c>
      <c r="I26" s="24">
        <f>COUNTIF(Likes!B:B,Users!A26)</f>
        <v>2</v>
      </c>
      <c r="J26" s="24">
        <f>COUNTIF(Comments!C:C,Users!A26)</f>
        <v>4</v>
      </c>
      <c r="K26" s="24">
        <f t="shared" si="0"/>
        <v>6</v>
      </c>
      <c r="L26" s="24" t="str">
        <f>_xlfn.XLOOKUP(Comments!C26,Users!A:A,Users!B:B,"Not Found")</f>
        <v>carrillotiffany</v>
      </c>
      <c r="M26" s="24">
        <f ca="1">DATEDIF(Friendships!D26,TODAY(),"M")</f>
        <v>16</v>
      </c>
      <c r="N26">
        <v>25</v>
      </c>
      <c r="O26">
        <v>25</v>
      </c>
      <c r="P26">
        <v>25</v>
      </c>
      <c r="Q26" s="26">
        <v>45660</v>
      </c>
    </row>
    <row r="27" spans="1:17">
      <c r="A27">
        <v>26</v>
      </c>
      <c r="B27" t="s">
        <v>204</v>
      </c>
      <c r="C27" t="s">
        <v>205</v>
      </c>
      <c r="D27" s="2">
        <v>45481</v>
      </c>
      <c r="E27" t="s">
        <v>206</v>
      </c>
      <c r="F27" s="12" t="s">
        <v>310</v>
      </c>
      <c r="G27" s="12">
        <f>COUNTIF(Posts!B:B,Users!A27)</f>
        <v>0</v>
      </c>
      <c r="H27" s="13">
        <v>0</v>
      </c>
      <c r="I27" s="24">
        <f>COUNTIF(Likes!B:B,Users!A27)</f>
        <v>2</v>
      </c>
      <c r="J27" s="24">
        <f>COUNTIF(Comments!C:C,Users!A27)</f>
        <v>0</v>
      </c>
      <c r="K27" s="24">
        <f t="shared" si="0"/>
        <v>2</v>
      </c>
      <c r="L27" s="24" t="str">
        <f>_xlfn.XLOOKUP(Comments!C27,Users!A:A,Users!B:B,"Not Found")</f>
        <v>meyersjacqueline</v>
      </c>
      <c r="M27" s="24">
        <f ca="1">DATEDIF(Friendships!D27,TODAY(),"M")</f>
        <v>4</v>
      </c>
      <c r="N27">
        <v>26</v>
      </c>
      <c r="O27">
        <v>26</v>
      </c>
      <c r="P27">
        <v>26</v>
      </c>
      <c r="Q27" s="26">
        <v>45891</v>
      </c>
    </row>
    <row r="28" spans="1:17">
      <c r="A28">
        <v>27</v>
      </c>
      <c r="B28" t="s">
        <v>207</v>
      </c>
      <c r="C28" t="s">
        <v>208</v>
      </c>
      <c r="D28" s="2">
        <v>45846</v>
      </c>
      <c r="E28" t="s">
        <v>209</v>
      </c>
      <c r="F28" s="12" t="s">
        <v>315</v>
      </c>
      <c r="G28" s="12">
        <f>COUNTIF(Posts!B:B,Users!A28)</f>
        <v>3</v>
      </c>
      <c r="H28" s="13">
        <f>AVERAGEIF(Posts!B:B,Users!A28,Posts!C:C)</f>
        <v>132.666666666667</v>
      </c>
      <c r="I28" s="24">
        <f>COUNTIF(Likes!B:B,Users!A28)</f>
        <v>4</v>
      </c>
      <c r="J28" s="24">
        <f>COUNTIF(Comments!C:C,Users!A28)</f>
        <v>3</v>
      </c>
      <c r="K28" s="24">
        <f t="shared" si="0"/>
        <v>7</v>
      </c>
      <c r="L28" s="24" t="str">
        <f>_xlfn.XLOOKUP(Comments!C28,Users!A:A,Users!B:B,"Not Found")</f>
        <v>haledavid</v>
      </c>
      <c r="M28" s="24">
        <f ca="1">DATEDIF(Friendships!D28,TODAY(),"M")</f>
        <v>21</v>
      </c>
      <c r="N28">
        <v>27</v>
      </c>
      <c r="O28">
        <v>27</v>
      </c>
      <c r="P28">
        <v>27</v>
      </c>
      <c r="Q28" s="26">
        <v>45693</v>
      </c>
    </row>
    <row r="29" spans="1:17">
      <c r="A29">
        <v>28</v>
      </c>
      <c r="B29" t="s">
        <v>210</v>
      </c>
      <c r="C29" t="s">
        <v>211</v>
      </c>
      <c r="D29" s="2">
        <v>45194</v>
      </c>
      <c r="E29" t="s">
        <v>212</v>
      </c>
      <c r="F29" s="12" t="s">
        <v>316</v>
      </c>
      <c r="G29" s="12">
        <f>COUNTIF(Posts!B:B,Users!A29)</f>
        <v>0</v>
      </c>
      <c r="H29" s="13">
        <v>0</v>
      </c>
      <c r="I29" s="24">
        <f>COUNTIF(Likes!B:B,Users!A29)</f>
        <v>3</v>
      </c>
      <c r="J29" s="24">
        <f>COUNTIF(Comments!C:C,Users!A29)</f>
        <v>4</v>
      </c>
      <c r="K29" s="24">
        <f t="shared" si="0"/>
        <v>7</v>
      </c>
      <c r="L29" s="24" t="str">
        <f>_xlfn.XLOOKUP(Comments!C29,Users!A:A,Users!B:B,"Not Found")</f>
        <v>victorjackson</v>
      </c>
      <c r="M29" s="24">
        <f ca="1">DATEDIF(Friendships!D29,TODAY(),"M")</f>
        <v>11</v>
      </c>
      <c r="N29">
        <v>28</v>
      </c>
      <c r="O29">
        <v>28</v>
      </c>
      <c r="P29">
        <v>28</v>
      </c>
      <c r="Q29" s="26">
        <v>45676</v>
      </c>
    </row>
    <row r="30" spans="1:17">
      <c r="A30">
        <v>29</v>
      </c>
      <c r="B30" t="s">
        <v>213</v>
      </c>
      <c r="C30" t="s">
        <v>214</v>
      </c>
      <c r="D30" s="2">
        <v>45405</v>
      </c>
      <c r="E30" t="s">
        <v>215</v>
      </c>
      <c r="F30" s="12" t="s">
        <v>295</v>
      </c>
      <c r="G30" s="12">
        <f>COUNTIF(Posts!B:B,Users!A30)</f>
        <v>1</v>
      </c>
      <c r="H30" s="13">
        <f>AVERAGEIF(Posts!B:B,Users!A30,Posts!C:C)</f>
        <v>48</v>
      </c>
      <c r="I30" s="24">
        <f>COUNTIF(Likes!B:B,Users!A30)</f>
        <v>2</v>
      </c>
      <c r="J30" s="24">
        <f>COUNTIF(Comments!C:C,Users!A30)</f>
        <v>5</v>
      </c>
      <c r="K30" s="24">
        <f t="shared" si="0"/>
        <v>7</v>
      </c>
      <c r="L30" s="24" t="str">
        <f>_xlfn.XLOOKUP(Comments!C30,Users!A:A,Users!B:B,"Not Found")</f>
        <v>jacksonbrianna</v>
      </c>
      <c r="M30" s="24">
        <f ca="1">DATEDIF(Friendships!D30,TODAY(),"M")</f>
        <v>9</v>
      </c>
      <c r="N30">
        <v>29</v>
      </c>
      <c r="O30">
        <v>29</v>
      </c>
      <c r="P30">
        <v>29</v>
      </c>
      <c r="Q30" s="26">
        <v>45618</v>
      </c>
    </row>
    <row r="31" spans="1:17">
      <c r="A31">
        <v>30</v>
      </c>
      <c r="B31" t="s">
        <v>216</v>
      </c>
      <c r="C31" t="s">
        <v>217</v>
      </c>
      <c r="D31" s="2">
        <v>45268</v>
      </c>
      <c r="E31" t="s">
        <v>218</v>
      </c>
      <c r="F31" s="12" t="s">
        <v>310</v>
      </c>
      <c r="G31" s="12">
        <f>COUNTIF(Posts!B:B,Users!A31)</f>
        <v>3</v>
      </c>
      <c r="H31" s="13">
        <f>AVERAGEIF(Posts!B:B,Users!A31,Posts!C:C)</f>
        <v>141.333333333333</v>
      </c>
      <c r="I31" s="24">
        <f>COUNTIF(Likes!B:B,Users!A31)</f>
        <v>6</v>
      </c>
      <c r="J31" s="24">
        <f>COUNTIF(Comments!C:C,Users!A31)</f>
        <v>4</v>
      </c>
      <c r="K31" s="24">
        <f t="shared" si="0"/>
        <v>10</v>
      </c>
      <c r="L31" s="24" t="str">
        <f>_xlfn.XLOOKUP(Comments!C31,Users!A:A,Users!B:B,"Not Found")</f>
        <v>abigailmercer</v>
      </c>
      <c r="M31" s="24">
        <f ca="1">DATEDIF(Friendships!D31,TODAY(),"M")</f>
        <v>23</v>
      </c>
      <c r="N31">
        <v>30</v>
      </c>
      <c r="O31">
        <v>30</v>
      </c>
      <c r="P31">
        <v>30</v>
      </c>
      <c r="Q31" s="26">
        <v>45626</v>
      </c>
    </row>
    <row r="32" spans="1:17">
      <c r="A32">
        <v>31</v>
      </c>
      <c r="B32" t="s">
        <v>219</v>
      </c>
      <c r="C32" t="s">
        <v>220</v>
      </c>
      <c r="D32" s="2">
        <v>45548</v>
      </c>
      <c r="E32" t="s">
        <v>221</v>
      </c>
      <c r="F32" s="12" t="s">
        <v>317</v>
      </c>
      <c r="G32" s="12">
        <f>COUNTIF(Posts!B:B,Users!A32)</f>
        <v>1</v>
      </c>
      <c r="H32" s="13">
        <f>AVERAGEIF(Posts!B:B,Users!A32,Posts!C:C)</f>
        <v>40</v>
      </c>
      <c r="I32" s="24">
        <f>COUNTIF(Likes!B:B,Users!A32)</f>
        <v>2</v>
      </c>
      <c r="J32" s="24">
        <f>COUNTIF(Comments!C:C,Users!A32)</f>
        <v>0</v>
      </c>
      <c r="K32" s="24">
        <f t="shared" si="0"/>
        <v>2</v>
      </c>
      <c r="L32" s="24" t="str">
        <f>_xlfn.XLOOKUP(Comments!C32,Users!A:A,Users!B:B,"Not Found")</f>
        <v>meyersjacqueline</v>
      </c>
      <c r="M32" s="24">
        <f ca="1">DATEDIF(Friendships!D32,TODAY(),"M")</f>
        <v>1</v>
      </c>
      <c r="N32">
        <v>31</v>
      </c>
      <c r="O32">
        <v>31</v>
      </c>
      <c r="P32">
        <v>31</v>
      </c>
      <c r="Q32" s="26">
        <v>45678</v>
      </c>
    </row>
    <row r="33" spans="1:17">
      <c r="A33">
        <v>32</v>
      </c>
      <c r="B33" t="s">
        <v>222</v>
      </c>
      <c r="C33" t="s">
        <v>223</v>
      </c>
      <c r="D33" s="2">
        <v>45893</v>
      </c>
      <c r="E33" t="s">
        <v>224</v>
      </c>
      <c r="F33" s="12" t="s">
        <v>298</v>
      </c>
      <c r="G33" s="12">
        <f>COUNTIF(Posts!B:B,Users!A33)</f>
        <v>0</v>
      </c>
      <c r="H33" s="13">
        <v>0</v>
      </c>
      <c r="I33" s="24">
        <f>COUNTIF(Likes!B:B,Users!A33)</f>
        <v>3</v>
      </c>
      <c r="J33" s="24">
        <f>COUNTIF(Comments!C:C,Users!A33)</f>
        <v>5</v>
      </c>
      <c r="K33" s="24">
        <f t="shared" si="0"/>
        <v>8</v>
      </c>
      <c r="L33" s="24" t="str">
        <f>_xlfn.XLOOKUP(Comments!C33,Users!A:A,Users!B:B,"Not Found")</f>
        <v>samuel65</v>
      </c>
      <c r="M33" s="24">
        <f ca="1">DATEDIF(Friendships!D33,TODAY(),"M")</f>
        <v>23</v>
      </c>
      <c r="N33">
        <v>32</v>
      </c>
      <c r="O33">
        <v>32</v>
      </c>
      <c r="P33">
        <v>32</v>
      </c>
      <c r="Q33" s="26">
        <v>45781</v>
      </c>
    </row>
    <row r="34" spans="1:17">
      <c r="A34">
        <v>33</v>
      </c>
      <c r="B34" t="s">
        <v>225</v>
      </c>
      <c r="C34" t="s">
        <v>226</v>
      </c>
      <c r="D34" s="2">
        <v>45265</v>
      </c>
      <c r="E34" t="s">
        <v>227</v>
      </c>
      <c r="F34" s="12" t="s">
        <v>318</v>
      </c>
      <c r="G34" s="12">
        <f>COUNTIF(Posts!B:B,Users!A34)</f>
        <v>2</v>
      </c>
      <c r="H34" s="13">
        <f>AVERAGEIF(Posts!B:B,Users!A34,Posts!C:C)</f>
        <v>56</v>
      </c>
      <c r="I34" s="24">
        <f>COUNTIF(Likes!B:B,Users!A34)</f>
        <v>5</v>
      </c>
      <c r="J34" s="24">
        <f>COUNTIF(Comments!C:C,Users!A34)</f>
        <v>3</v>
      </c>
      <c r="K34" s="24">
        <f t="shared" ref="K34:K51" si="1">SUM(I34+J34)</f>
        <v>8</v>
      </c>
      <c r="L34" s="24" t="str">
        <f>_xlfn.XLOOKUP(Comments!C34,Users!A:A,Users!B:B,"Not Found")</f>
        <v>restes</v>
      </c>
      <c r="M34" s="24">
        <f ca="1">DATEDIF(Friendships!D34,TODAY(),"M")</f>
        <v>6</v>
      </c>
      <c r="N34">
        <v>33</v>
      </c>
      <c r="O34">
        <v>33</v>
      </c>
      <c r="P34">
        <v>33</v>
      </c>
      <c r="Q34" s="26">
        <v>45736</v>
      </c>
    </row>
    <row r="35" spans="1:17">
      <c r="A35">
        <v>34</v>
      </c>
      <c r="B35" t="s">
        <v>228</v>
      </c>
      <c r="C35" t="s">
        <v>229</v>
      </c>
      <c r="D35" s="2">
        <v>45561</v>
      </c>
      <c r="E35" t="s">
        <v>230</v>
      </c>
      <c r="F35" s="12" t="s">
        <v>310</v>
      </c>
      <c r="G35" s="12">
        <f>COUNTIF(Posts!B:B,Users!A35)</f>
        <v>2</v>
      </c>
      <c r="H35" s="13">
        <f>AVERAGEIF(Posts!B:B,Users!A35,Posts!C:C)</f>
        <v>94</v>
      </c>
      <c r="I35" s="24">
        <f>COUNTIF(Likes!B:B,Users!A35)</f>
        <v>0</v>
      </c>
      <c r="J35" s="24">
        <f>COUNTIF(Comments!C:C,Users!A35)</f>
        <v>4</v>
      </c>
      <c r="K35" s="24">
        <f t="shared" si="1"/>
        <v>4</v>
      </c>
      <c r="L35" s="24" t="str">
        <f>_xlfn.XLOOKUP(Comments!C35,Users!A:A,Users!B:B,"Not Found")</f>
        <v>lucerodavid</v>
      </c>
      <c r="M35" s="24">
        <f ca="1">DATEDIF(Friendships!D35,TODAY(),"M")</f>
        <v>15</v>
      </c>
      <c r="N35">
        <v>34</v>
      </c>
      <c r="O35">
        <v>34</v>
      </c>
      <c r="P35">
        <v>34</v>
      </c>
      <c r="Q35" s="26">
        <v>45682</v>
      </c>
    </row>
    <row r="36" spans="1:17">
      <c r="A36">
        <v>35</v>
      </c>
      <c r="B36" t="s">
        <v>231</v>
      </c>
      <c r="C36" t="s">
        <v>232</v>
      </c>
      <c r="D36" s="2">
        <v>45703</v>
      </c>
      <c r="E36" t="s">
        <v>233</v>
      </c>
      <c r="F36" s="12" t="s">
        <v>310</v>
      </c>
      <c r="G36" s="12">
        <f>COUNTIF(Posts!B:B,Users!A36)</f>
        <v>1</v>
      </c>
      <c r="H36" s="13">
        <f>AVERAGEIF(Posts!B:B,Users!A36,Posts!C:C)</f>
        <v>52</v>
      </c>
      <c r="I36" s="24">
        <f>COUNTIF(Likes!B:B,Users!A36)</f>
        <v>3</v>
      </c>
      <c r="J36" s="24">
        <f>COUNTIF(Comments!C:C,Users!A36)</f>
        <v>1</v>
      </c>
      <c r="K36" s="24">
        <f t="shared" si="1"/>
        <v>4</v>
      </c>
      <c r="L36" s="24" t="str">
        <f>_xlfn.XLOOKUP(Comments!C36,Users!A:A,Users!B:B,"Not Found")</f>
        <v>williamsrobert</v>
      </c>
      <c r="M36" s="24">
        <f ca="1">DATEDIF(Friendships!D36,TODAY(),"M")</f>
        <v>15</v>
      </c>
      <c r="N36">
        <v>35</v>
      </c>
      <c r="O36">
        <v>35</v>
      </c>
      <c r="P36">
        <v>35</v>
      </c>
      <c r="Q36" s="26">
        <v>45573</v>
      </c>
    </row>
    <row r="37" spans="1:17">
      <c r="A37">
        <v>36</v>
      </c>
      <c r="B37" t="s">
        <v>234</v>
      </c>
      <c r="C37" t="s">
        <v>235</v>
      </c>
      <c r="D37" s="2">
        <v>45723</v>
      </c>
      <c r="E37" t="s">
        <v>236</v>
      </c>
      <c r="F37" s="12" t="s">
        <v>310</v>
      </c>
      <c r="G37" s="12">
        <f>COUNTIF(Posts!B:B,Users!A37)</f>
        <v>1</v>
      </c>
      <c r="H37" s="13">
        <f>AVERAGEIF(Posts!B:B,Users!A37,Posts!C:C)</f>
        <v>53</v>
      </c>
      <c r="I37" s="24">
        <f>COUNTIF(Likes!B:B,Users!A37)</f>
        <v>3</v>
      </c>
      <c r="J37" s="24">
        <f>COUNTIF(Comments!C:C,Users!A37)</f>
        <v>3</v>
      </c>
      <c r="K37" s="24">
        <f t="shared" si="1"/>
        <v>6</v>
      </c>
      <c r="L37" s="24" t="str">
        <f>_xlfn.XLOOKUP(Comments!C37,Users!A:A,Users!B:B,"Not Found")</f>
        <v>weavergina</v>
      </c>
      <c r="M37" s="24">
        <f ca="1">DATEDIF(Friendships!D37,TODAY(),"M")</f>
        <v>23</v>
      </c>
      <c r="N37">
        <v>36</v>
      </c>
      <c r="O37">
        <v>36</v>
      </c>
      <c r="P37">
        <v>36</v>
      </c>
      <c r="Q37" s="26">
        <v>45592</v>
      </c>
    </row>
    <row r="38" spans="1:17">
      <c r="A38">
        <v>37</v>
      </c>
      <c r="B38" t="s">
        <v>237</v>
      </c>
      <c r="C38" t="s">
        <v>238</v>
      </c>
      <c r="D38" s="2">
        <v>45284</v>
      </c>
      <c r="E38" t="s">
        <v>239</v>
      </c>
      <c r="F38" s="12" t="s">
        <v>310</v>
      </c>
      <c r="G38" s="12">
        <f>COUNTIF(Posts!B:B,Users!A38)</f>
        <v>0</v>
      </c>
      <c r="H38" s="13">
        <v>0</v>
      </c>
      <c r="I38" s="24">
        <f>COUNTIF(Likes!B:B,Users!A38)</f>
        <v>1</v>
      </c>
      <c r="J38" s="24">
        <f>COUNTIF(Comments!C:C,Users!A38)</f>
        <v>0</v>
      </c>
      <c r="K38" s="24">
        <f t="shared" si="1"/>
        <v>1</v>
      </c>
      <c r="L38" s="24" t="str">
        <f>_xlfn.XLOOKUP(Comments!C38,Users!A:A,Users!B:B,"Not Found")</f>
        <v>lucerodavid</v>
      </c>
      <c r="M38" s="24">
        <f ca="1">DATEDIF(Friendships!D38,TODAY(),"M")</f>
        <v>14</v>
      </c>
      <c r="N38">
        <v>37</v>
      </c>
      <c r="O38">
        <v>37</v>
      </c>
      <c r="P38">
        <v>37</v>
      </c>
      <c r="Q38" s="26">
        <v>45775</v>
      </c>
    </row>
    <row r="39" spans="1:17">
      <c r="A39">
        <v>38</v>
      </c>
      <c r="B39" t="s">
        <v>240</v>
      </c>
      <c r="C39" t="s">
        <v>241</v>
      </c>
      <c r="D39" s="2">
        <v>45824</v>
      </c>
      <c r="E39" t="s">
        <v>242</v>
      </c>
      <c r="F39" s="12" t="s">
        <v>319</v>
      </c>
      <c r="G39" s="12">
        <f>COUNTIF(Posts!B:B,Users!A39)</f>
        <v>2</v>
      </c>
      <c r="H39" s="13">
        <f>AVERAGEIF(Posts!B:B,Users!A39,Posts!C:C)</f>
        <v>161.5</v>
      </c>
      <c r="I39" s="24">
        <f>COUNTIF(Likes!B:B,Users!A39)</f>
        <v>4</v>
      </c>
      <c r="J39" s="24">
        <f>COUNTIF(Comments!C:C,Users!A39)</f>
        <v>2</v>
      </c>
      <c r="K39" s="24">
        <f t="shared" si="1"/>
        <v>6</v>
      </c>
      <c r="L39" s="24" t="str">
        <f>_xlfn.XLOOKUP(Comments!C39,Users!A:A,Users!B:B,"Not Found")</f>
        <v>lucerodavid</v>
      </c>
      <c r="M39" s="24">
        <f ca="1">DATEDIF(Friendships!D39,TODAY(),"M")</f>
        <v>7</v>
      </c>
      <c r="N39">
        <v>38</v>
      </c>
      <c r="O39">
        <v>38</v>
      </c>
      <c r="P39">
        <v>38</v>
      </c>
      <c r="Q39" s="26">
        <v>45582</v>
      </c>
    </row>
    <row r="40" spans="1:17">
      <c r="A40">
        <v>39</v>
      </c>
      <c r="B40" t="s">
        <v>243</v>
      </c>
      <c r="C40" t="s">
        <v>244</v>
      </c>
      <c r="D40" s="2">
        <v>45197</v>
      </c>
      <c r="E40" t="s">
        <v>245</v>
      </c>
      <c r="F40" s="12" t="s">
        <v>320</v>
      </c>
      <c r="G40" s="12">
        <f>COUNTIF(Posts!B:B,Users!A40)</f>
        <v>2</v>
      </c>
      <c r="H40" s="13">
        <f>AVERAGEIF(Posts!B:B,Users!A40,Posts!C:C)</f>
        <v>71</v>
      </c>
      <c r="I40" s="24">
        <f>COUNTIF(Likes!B:B,Users!A40)</f>
        <v>3</v>
      </c>
      <c r="J40" s="24">
        <f>COUNTIF(Comments!C:C,Users!A40)</f>
        <v>0</v>
      </c>
      <c r="K40" s="24">
        <f t="shared" si="1"/>
        <v>3</v>
      </c>
      <c r="L40" s="24" t="str">
        <f>_xlfn.XLOOKUP(Comments!C40,Users!A:A,Users!B:B,"Not Found")</f>
        <v>ahamilton</v>
      </c>
      <c r="M40" s="24">
        <f ca="1">DATEDIF(Friendships!D40,TODAY(),"M")</f>
        <v>3</v>
      </c>
      <c r="N40">
        <v>39</v>
      </c>
      <c r="O40">
        <v>39</v>
      </c>
      <c r="P40">
        <v>39</v>
      </c>
      <c r="Q40" s="26">
        <v>45788</v>
      </c>
    </row>
    <row r="41" spans="1:17">
      <c r="A41">
        <v>40</v>
      </c>
      <c r="B41" t="s">
        <v>246</v>
      </c>
      <c r="C41" t="s">
        <v>247</v>
      </c>
      <c r="D41" s="2">
        <v>45464</v>
      </c>
      <c r="E41" t="s">
        <v>248</v>
      </c>
      <c r="F41" s="12" t="s">
        <v>321</v>
      </c>
      <c r="G41" s="12">
        <f>COUNTIF(Posts!B:B,Users!A41)</f>
        <v>2</v>
      </c>
      <c r="H41" s="13">
        <f>AVERAGEIF(Posts!B:B,Users!A41,Posts!C:C)</f>
        <v>59</v>
      </c>
      <c r="I41" s="24">
        <f>COUNTIF(Likes!B:B,Users!A41)</f>
        <v>3</v>
      </c>
      <c r="J41" s="24">
        <f>COUNTIF(Comments!C:C,Users!A41)</f>
        <v>2</v>
      </c>
      <c r="K41" s="24">
        <f t="shared" si="1"/>
        <v>5</v>
      </c>
      <c r="L41" s="24" t="str">
        <f>_xlfn.XLOOKUP(Comments!C41,Users!A:A,Users!B:B,"Not Found")</f>
        <v>smithlogan</v>
      </c>
      <c r="M41" s="24">
        <f ca="1">DATEDIF(Friendships!D41,TODAY(),"M")</f>
        <v>19</v>
      </c>
      <c r="N41">
        <v>40</v>
      </c>
      <c r="O41">
        <v>40</v>
      </c>
      <c r="P41">
        <v>40</v>
      </c>
      <c r="Q41" s="26">
        <v>45812</v>
      </c>
    </row>
    <row r="42" spans="1:17">
      <c r="A42">
        <v>41</v>
      </c>
      <c r="B42" t="s">
        <v>249</v>
      </c>
      <c r="C42" t="s">
        <v>250</v>
      </c>
      <c r="D42" s="2">
        <v>45415</v>
      </c>
      <c r="E42" t="s">
        <v>251</v>
      </c>
      <c r="F42" s="12" t="s">
        <v>322</v>
      </c>
      <c r="G42" s="12">
        <f>COUNTIF(Posts!B:B,Users!A42)</f>
        <v>3</v>
      </c>
      <c r="H42" s="13">
        <f>AVERAGEIF(Posts!B:B,Users!A42,Posts!C:C)</f>
        <v>89</v>
      </c>
      <c r="I42" s="24">
        <f>COUNTIF(Likes!B:B,Users!A42)</f>
        <v>2</v>
      </c>
      <c r="J42" s="24">
        <f>COUNTIF(Comments!C:C,Users!A42)</f>
        <v>1</v>
      </c>
      <c r="K42" s="24">
        <f t="shared" si="1"/>
        <v>3</v>
      </c>
      <c r="L42" s="24" t="str">
        <f>_xlfn.XLOOKUP(Comments!C42,Users!A:A,Users!B:B,"Not Found")</f>
        <v>kevinhampton</v>
      </c>
      <c r="M42" s="24">
        <f ca="1">DATEDIF(Friendships!D42,TODAY(),"M")</f>
        <v>10</v>
      </c>
      <c r="N42">
        <v>41</v>
      </c>
      <c r="O42">
        <v>41</v>
      </c>
      <c r="P42">
        <v>41</v>
      </c>
      <c r="Q42" s="26">
        <v>45700</v>
      </c>
    </row>
    <row r="43" spans="1:17">
      <c r="A43">
        <v>42</v>
      </c>
      <c r="B43" t="s">
        <v>252</v>
      </c>
      <c r="C43" t="s">
        <v>253</v>
      </c>
      <c r="D43" s="2">
        <v>45426</v>
      </c>
      <c r="E43" t="s">
        <v>254</v>
      </c>
      <c r="F43" s="12" t="s">
        <v>323</v>
      </c>
      <c r="G43" s="12">
        <f>COUNTIF(Posts!B:B,Users!A43)</f>
        <v>0</v>
      </c>
      <c r="H43" s="13">
        <v>0</v>
      </c>
      <c r="I43" s="24">
        <f>COUNTIF(Likes!B:B,Users!A43)</f>
        <v>7</v>
      </c>
      <c r="J43" s="24">
        <f>COUNTIF(Comments!C:C,Users!A43)</f>
        <v>4</v>
      </c>
      <c r="K43" s="25">
        <f t="shared" si="1"/>
        <v>11</v>
      </c>
      <c r="L43" s="24" t="str">
        <f>_xlfn.XLOOKUP(Comments!C43,Users!A:A,Users!B:B,"Not Found")</f>
        <v>lucerodavid</v>
      </c>
      <c r="M43" s="24">
        <f ca="1">DATEDIF(Friendships!D43,TODAY(),"M")</f>
        <v>16</v>
      </c>
      <c r="N43">
        <v>42</v>
      </c>
      <c r="O43">
        <v>42</v>
      </c>
      <c r="P43">
        <v>42</v>
      </c>
      <c r="Q43" s="26">
        <v>45633</v>
      </c>
    </row>
    <row r="44" spans="1:17">
      <c r="A44">
        <v>43</v>
      </c>
      <c r="B44" t="s">
        <v>255</v>
      </c>
      <c r="C44" t="s">
        <v>256</v>
      </c>
      <c r="D44" s="2">
        <v>45237</v>
      </c>
      <c r="E44" t="s">
        <v>257</v>
      </c>
      <c r="F44" s="12" t="s">
        <v>324</v>
      </c>
      <c r="G44" s="12">
        <f>COUNTIF(Posts!B:B,Users!A44)</f>
        <v>2</v>
      </c>
      <c r="H44" s="13">
        <f>AVERAGEIF(Posts!B:B,Users!A44,Posts!C:C)</f>
        <v>143.5</v>
      </c>
      <c r="I44" s="24">
        <f>COUNTIF(Likes!B:B,Users!A44)</f>
        <v>1</v>
      </c>
      <c r="J44" s="24">
        <f>COUNTIF(Comments!C:C,Users!A44)</f>
        <v>3</v>
      </c>
      <c r="K44" s="24">
        <f t="shared" si="1"/>
        <v>4</v>
      </c>
      <c r="L44" s="24" t="str">
        <f>_xlfn.XLOOKUP(Comments!C44,Users!A:A,Users!B:B,"Not Found")</f>
        <v>suzannevillanueva</v>
      </c>
      <c r="M44" s="24">
        <f ca="1">DATEDIF(Friendships!D44,TODAY(),"M")</f>
        <v>11</v>
      </c>
      <c r="N44">
        <v>43</v>
      </c>
      <c r="O44">
        <v>43</v>
      </c>
      <c r="P44">
        <v>43</v>
      </c>
      <c r="Q44" s="26">
        <v>45875</v>
      </c>
    </row>
    <row r="45" spans="1:17">
      <c r="A45">
        <v>44</v>
      </c>
      <c r="B45" t="s">
        <v>258</v>
      </c>
      <c r="C45" t="s">
        <v>259</v>
      </c>
      <c r="D45" s="2">
        <v>45735</v>
      </c>
      <c r="E45" t="s">
        <v>260</v>
      </c>
      <c r="F45" s="12" t="s">
        <v>310</v>
      </c>
      <c r="G45" s="12">
        <f>COUNTIF(Posts!B:B,Users!A45)</f>
        <v>0</v>
      </c>
      <c r="H45" s="13">
        <v>0</v>
      </c>
      <c r="I45" s="24">
        <f>COUNTIF(Likes!B:B,Users!A45)</f>
        <v>2</v>
      </c>
      <c r="J45" s="24">
        <f>COUNTIF(Comments!C:C,Users!A45)</f>
        <v>2</v>
      </c>
      <c r="K45" s="24">
        <f t="shared" si="1"/>
        <v>4</v>
      </c>
      <c r="L45" s="24" t="str">
        <f>_xlfn.XLOOKUP(Comments!C45,Users!A:A,Users!B:B,"Not Found")</f>
        <v>ssharp</v>
      </c>
      <c r="M45" s="24">
        <f ca="1">DATEDIF(Friendships!D45,TODAY(),"M")</f>
        <v>22</v>
      </c>
      <c r="N45">
        <v>44</v>
      </c>
      <c r="O45">
        <v>44</v>
      </c>
      <c r="P45">
        <v>44</v>
      </c>
      <c r="Q45" s="26">
        <v>45904</v>
      </c>
    </row>
    <row r="46" spans="1:17">
      <c r="A46">
        <v>45</v>
      </c>
      <c r="B46" t="s">
        <v>261</v>
      </c>
      <c r="C46" t="s">
        <v>262</v>
      </c>
      <c r="D46" s="2">
        <v>45519</v>
      </c>
      <c r="E46" t="s">
        <v>263</v>
      </c>
      <c r="F46" s="12" t="s">
        <v>298</v>
      </c>
      <c r="G46" s="12">
        <f>COUNTIF(Posts!B:B,Users!A46)</f>
        <v>3</v>
      </c>
      <c r="H46" s="13">
        <f>AVERAGEIF(Posts!B:B,Users!A46,Posts!C:C)</f>
        <v>100.333333333333</v>
      </c>
      <c r="I46" s="24">
        <f>COUNTIF(Likes!B:B,Users!A46)</f>
        <v>4</v>
      </c>
      <c r="J46" s="24">
        <f>COUNTIF(Comments!C:C,Users!A46)</f>
        <v>4</v>
      </c>
      <c r="K46" s="24">
        <f t="shared" si="1"/>
        <v>8</v>
      </c>
      <c r="L46" s="24" t="str">
        <f>_xlfn.XLOOKUP(Comments!C46,Users!A:A,Users!B:B,"Not Found")</f>
        <v>chamberslouis</v>
      </c>
      <c r="M46" s="24">
        <f ca="1">DATEDIF(Friendships!D46,TODAY(),"M")</f>
        <v>6</v>
      </c>
      <c r="N46">
        <v>45</v>
      </c>
      <c r="O46">
        <v>45</v>
      </c>
      <c r="P46">
        <v>45</v>
      </c>
      <c r="Q46" s="26">
        <v>45616</v>
      </c>
    </row>
    <row r="47" spans="1:17">
      <c r="A47">
        <v>46</v>
      </c>
      <c r="B47" t="s">
        <v>264</v>
      </c>
      <c r="C47" t="s">
        <v>265</v>
      </c>
      <c r="D47" s="2">
        <v>45676</v>
      </c>
      <c r="E47" t="s">
        <v>266</v>
      </c>
      <c r="F47" s="12" t="s">
        <v>325</v>
      </c>
      <c r="G47" s="12">
        <f>COUNTIF(Posts!B:B,Users!A47)</f>
        <v>4</v>
      </c>
      <c r="H47" s="13">
        <f>AVERAGEIF(Posts!B:B,Users!A47,Posts!C:C)</f>
        <v>136.25</v>
      </c>
      <c r="I47" s="24">
        <f>COUNTIF(Likes!B:B,Users!A47)</f>
        <v>5</v>
      </c>
      <c r="J47" s="24">
        <f>COUNTIF(Comments!C:C,Users!A47)</f>
        <v>5</v>
      </c>
      <c r="K47" s="24">
        <f t="shared" si="1"/>
        <v>10</v>
      </c>
      <c r="L47" s="24" t="str">
        <f>_xlfn.XLOOKUP(Comments!C47,Users!A:A,Users!B:B,"Not Found")</f>
        <v>ericabaker</v>
      </c>
      <c r="M47" s="24">
        <f ca="1">DATEDIF(Friendships!D47,TODAY(),"M")</f>
        <v>14</v>
      </c>
      <c r="N47">
        <v>46</v>
      </c>
      <c r="O47">
        <v>46</v>
      </c>
      <c r="P47">
        <v>46</v>
      </c>
      <c r="Q47" s="26">
        <v>45813</v>
      </c>
    </row>
    <row r="48" spans="1:17">
      <c r="A48">
        <v>47</v>
      </c>
      <c r="B48" t="s">
        <v>267</v>
      </c>
      <c r="C48" t="s">
        <v>268</v>
      </c>
      <c r="D48" s="2">
        <v>45319</v>
      </c>
      <c r="E48" t="s">
        <v>269</v>
      </c>
      <c r="F48" s="12" t="s">
        <v>298</v>
      </c>
      <c r="G48" s="12">
        <f>COUNTIF(Posts!B:B,Users!A48)</f>
        <v>1</v>
      </c>
      <c r="H48" s="13">
        <f>AVERAGEIF(Posts!B:B,Users!A48,Posts!C:C)</f>
        <v>62</v>
      </c>
      <c r="I48" s="24">
        <f>COUNTIF(Likes!B:B,Users!A48)</f>
        <v>4</v>
      </c>
      <c r="J48" s="24">
        <f>COUNTIF(Comments!C:C,Users!A48)</f>
        <v>2</v>
      </c>
      <c r="K48" s="24">
        <f t="shared" si="1"/>
        <v>6</v>
      </c>
      <c r="L48" s="24" t="str">
        <f>_xlfn.XLOOKUP(Comments!C48,Users!A:A,Users!B:B,"Not Found")</f>
        <v>vbutler</v>
      </c>
      <c r="M48" s="24">
        <f ca="1">DATEDIF(Friendships!D48,TODAY(),"M")</f>
        <v>13</v>
      </c>
      <c r="N48">
        <v>47</v>
      </c>
      <c r="O48">
        <v>47</v>
      </c>
      <c r="P48">
        <v>47</v>
      </c>
      <c r="Q48" s="26">
        <v>45608</v>
      </c>
    </row>
    <row r="49" spans="1:17">
      <c r="A49">
        <v>48</v>
      </c>
      <c r="B49" t="s">
        <v>270</v>
      </c>
      <c r="C49" t="s">
        <v>271</v>
      </c>
      <c r="D49" s="2">
        <v>45749</v>
      </c>
      <c r="E49" t="s">
        <v>272</v>
      </c>
      <c r="F49" s="12" t="s">
        <v>310</v>
      </c>
      <c r="G49" s="12">
        <f>COUNTIF(Posts!B:B,Users!A49)</f>
        <v>2</v>
      </c>
      <c r="H49" s="13">
        <f>AVERAGEIF(Posts!B:B,Users!A49,Posts!C:C)</f>
        <v>29</v>
      </c>
      <c r="I49" s="24">
        <f>COUNTIF(Likes!B:B,Users!A49)</f>
        <v>2</v>
      </c>
      <c r="J49" s="24">
        <f>COUNTIF(Comments!C:C,Users!A49)</f>
        <v>1</v>
      </c>
      <c r="K49" s="24">
        <f t="shared" si="1"/>
        <v>3</v>
      </c>
      <c r="L49" s="24" t="str">
        <f>_xlfn.XLOOKUP(Comments!C49,Users!A:A,Users!B:B,"Not Found")</f>
        <v>erikaphillips</v>
      </c>
      <c r="M49" s="24">
        <f ca="1">DATEDIF(Friendships!D49,TODAY(),"M")</f>
        <v>2</v>
      </c>
      <c r="N49">
        <v>48</v>
      </c>
      <c r="O49">
        <v>48</v>
      </c>
      <c r="P49">
        <v>48</v>
      </c>
      <c r="Q49" s="26">
        <v>45761</v>
      </c>
    </row>
    <row r="50" spans="1:17">
      <c r="A50">
        <v>49</v>
      </c>
      <c r="B50" t="s">
        <v>273</v>
      </c>
      <c r="C50" t="s">
        <v>274</v>
      </c>
      <c r="D50" s="2">
        <v>45803</v>
      </c>
      <c r="E50" t="s">
        <v>275</v>
      </c>
      <c r="F50" s="12" t="s">
        <v>326</v>
      </c>
      <c r="G50" s="12">
        <f>COUNTIF(Posts!B:B,Users!A50)</f>
        <v>5</v>
      </c>
      <c r="H50" s="13">
        <f>AVERAGEIF(Posts!B:B,Users!A50,Posts!C:C)</f>
        <v>110.2</v>
      </c>
      <c r="I50" s="24">
        <f>COUNTIF(Likes!B:B,Users!A50)</f>
        <v>0</v>
      </c>
      <c r="J50" s="24">
        <f>COUNTIF(Comments!C:C,Users!A50)</f>
        <v>2</v>
      </c>
      <c r="K50" s="24">
        <f t="shared" si="1"/>
        <v>2</v>
      </c>
      <c r="L50" s="24" t="str">
        <f>_xlfn.XLOOKUP(Comments!C50,Users!A:A,Users!B:B,"Not Found")</f>
        <v>restes</v>
      </c>
      <c r="M50" s="24">
        <f ca="1">DATEDIF(Friendships!D50,TODAY(),"M")</f>
        <v>8</v>
      </c>
      <c r="N50">
        <v>49</v>
      </c>
      <c r="O50">
        <v>49</v>
      </c>
      <c r="P50">
        <v>49</v>
      </c>
      <c r="Q50" s="26">
        <v>45880</v>
      </c>
    </row>
    <row r="51" spans="1:17">
      <c r="A51">
        <v>50</v>
      </c>
      <c r="B51" t="s">
        <v>276</v>
      </c>
      <c r="C51" t="s">
        <v>277</v>
      </c>
      <c r="D51" s="2">
        <v>45556</v>
      </c>
      <c r="E51" t="s">
        <v>278</v>
      </c>
      <c r="F51" s="12" t="s">
        <v>327</v>
      </c>
      <c r="G51" s="12">
        <f>COUNTIF(Posts!B:B,Users!A51)</f>
        <v>0</v>
      </c>
      <c r="H51" s="13">
        <v>0</v>
      </c>
      <c r="I51" s="24">
        <f>COUNTIF(Likes!B:B,Users!A51)</f>
        <v>4</v>
      </c>
      <c r="J51" s="24">
        <f>COUNTIF(Comments!C:C,Users!A51)</f>
        <v>2</v>
      </c>
      <c r="K51" s="24">
        <f t="shared" si="1"/>
        <v>6</v>
      </c>
      <c r="L51" s="24" t="str">
        <f>_xlfn.XLOOKUP(Comments!C51,Users!A:A,Users!B:B,"Not Found")</f>
        <v>lucerodavid</v>
      </c>
      <c r="M51" s="24">
        <f ca="1">DATEDIF(Friendships!D51,TODAY(),"M")</f>
        <v>13</v>
      </c>
      <c r="N51">
        <v>50</v>
      </c>
      <c r="O51">
        <v>50</v>
      </c>
      <c r="P51">
        <v>50</v>
      </c>
      <c r="Q51" s="26">
        <v>45670</v>
      </c>
    </row>
    <row r="52" spans="14:17">
      <c r="N52">
        <v>51</v>
      </c>
      <c r="O52">
        <v>51</v>
      </c>
      <c r="P52">
        <v>51</v>
      </c>
      <c r="Q52" s="26">
        <v>45665</v>
      </c>
    </row>
    <row r="53" spans="14:17">
      <c r="N53">
        <v>52</v>
      </c>
      <c r="O53">
        <v>52</v>
      </c>
      <c r="P53">
        <v>52</v>
      </c>
      <c r="Q53" s="26">
        <v>45905</v>
      </c>
    </row>
    <row r="54" spans="14:17">
      <c r="N54">
        <v>53</v>
      </c>
      <c r="O54">
        <v>53</v>
      </c>
      <c r="P54">
        <v>53</v>
      </c>
      <c r="Q54" s="26">
        <v>45756</v>
      </c>
    </row>
    <row r="55" spans="14:17">
      <c r="N55">
        <v>54</v>
      </c>
      <c r="O55">
        <v>54</v>
      </c>
      <c r="P55">
        <v>54</v>
      </c>
      <c r="Q55" s="26">
        <v>45910</v>
      </c>
    </row>
    <row r="56" spans="14:17">
      <c r="N56">
        <v>55</v>
      </c>
      <c r="O56">
        <v>55</v>
      </c>
      <c r="P56">
        <v>55</v>
      </c>
      <c r="Q56" s="26">
        <v>45761</v>
      </c>
    </row>
    <row r="57" spans="14:17">
      <c r="N57">
        <v>56</v>
      </c>
      <c r="O57">
        <v>56</v>
      </c>
      <c r="P57">
        <v>56</v>
      </c>
      <c r="Q57" s="26">
        <v>45722</v>
      </c>
    </row>
    <row r="58" spans="14:17">
      <c r="N58">
        <v>57</v>
      </c>
      <c r="O58">
        <v>57</v>
      </c>
      <c r="P58">
        <v>57</v>
      </c>
      <c r="Q58" s="26">
        <v>45736</v>
      </c>
    </row>
    <row r="59" spans="14:17">
      <c r="N59">
        <v>58</v>
      </c>
      <c r="O59">
        <v>58</v>
      </c>
      <c r="P59">
        <v>58</v>
      </c>
      <c r="Q59" s="26">
        <v>45804</v>
      </c>
    </row>
    <row r="60" spans="14:17">
      <c r="N60">
        <v>59</v>
      </c>
      <c r="O60">
        <v>59</v>
      </c>
      <c r="P60">
        <v>59</v>
      </c>
      <c r="Q60" s="26">
        <v>45847</v>
      </c>
    </row>
    <row r="61" spans="14:17">
      <c r="N61">
        <v>60</v>
      </c>
      <c r="O61">
        <v>60</v>
      </c>
      <c r="P61">
        <v>60</v>
      </c>
      <c r="Q61" s="26">
        <v>45621</v>
      </c>
    </row>
    <row r="62" spans="14:17">
      <c r="N62">
        <v>61</v>
      </c>
      <c r="O62">
        <v>61</v>
      </c>
      <c r="P62">
        <v>61</v>
      </c>
      <c r="Q62" s="26">
        <v>45665</v>
      </c>
    </row>
    <row r="63" spans="14:17">
      <c r="N63">
        <v>62</v>
      </c>
      <c r="O63">
        <v>62</v>
      </c>
      <c r="P63">
        <v>62</v>
      </c>
      <c r="Q63" s="26">
        <v>45554</v>
      </c>
    </row>
    <row r="64" spans="14:17">
      <c r="N64">
        <v>63</v>
      </c>
      <c r="O64">
        <v>63</v>
      </c>
      <c r="P64">
        <v>63</v>
      </c>
      <c r="Q64" s="26">
        <v>45617</v>
      </c>
    </row>
    <row r="65" spans="14:17">
      <c r="N65">
        <v>64</v>
      </c>
      <c r="O65">
        <v>64</v>
      </c>
      <c r="P65">
        <v>64</v>
      </c>
      <c r="Q65" s="26">
        <v>45704</v>
      </c>
    </row>
    <row r="66" spans="14:17">
      <c r="N66">
        <v>65</v>
      </c>
      <c r="O66">
        <v>65</v>
      </c>
      <c r="P66">
        <v>65</v>
      </c>
      <c r="Q66" s="26">
        <v>45633</v>
      </c>
    </row>
    <row r="67" spans="14:17">
      <c r="N67">
        <v>66</v>
      </c>
      <c r="O67">
        <v>66</v>
      </c>
      <c r="P67">
        <v>66</v>
      </c>
      <c r="Q67" s="26">
        <v>45596</v>
      </c>
    </row>
    <row r="68" spans="14:17">
      <c r="N68">
        <v>67</v>
      </c>
      <c r="O68">
        <v>67</v>
      </c>
      <c r="P68">
        <v>67</v>
      </c>
      <c r="Q68" s="26">
        <v>45815</v>
      </c>
    </row>
    <row r="69" spans="14:17">
      <c r="N69">
        <v>68</v>
      </c>
      <c r="O69">
        <v>68</v>
      </c>
      <c r="P69">
        <v>68</v>
      </c>
      <c r="Q69" s="26">
        <v>45643</v>
      </c>
    </row>
    <row r="70" spans="14:17">
      <c r="N70">
        <v>69</v>
      </c>
      <c r="O70">
        <v>69</v>
      </c>
      <c r="P70">
        <v>69</v>
      </c>
      <c r="Q70" s="26">
        <v>45741</v>
      </c>
    </row>
    <row r="71" spans="14:17">
      <c r="N71">
        <v>70</v>
      </c>
      <c r="O71">
        <v>70</v>
      </c>
      <c r="P71">
        <v>70</v>
      </c>
      <c r="Q71" s="26">
        <v>45629</v>
      </c>
    </row>
    <row r="72" spans="14:17">
      <c r="N72">
        <v>71</v>
      </c>
      <c r="O72">
        <v>71</v>
      </c>
      <c r="P72">
        <v>71</v>
      </c>
      <c r="Q72" s="26">
        <v>45716</v>
      </c>
    </row>
    <row r="73" spans="14:17">
      <c r="N73">
        <v>72</v>
      </c>
      <c r="O73">
        <v>72</v>
      </c>
      <c r="P73">
        <v>72</v>
      </c>
      <c r="Q73" s="26">
        <v>45587</v>
      </c>
    </row>
    <row r="74" spans="14:17">
      <c r="N74">
        <v>73</v>
      </c>
      <c r="O74">
        <v>73</v>
      </c>
      <c r="P74">
        <v>73</v>
      </c>
      <c r="Q74" s="26">
        <v>45785</v>
      </c>
    </row>
    <row r="75" spans="14:17">
      <c r="N75">
        <v>74</v>
      </c>
      <c r="O75">
        <v>74</v>
      </c>
      <c r="P75">
        <v>74</v>
      </c>
      <c r="Q75" s="26">
        <v>45554</v>
      </c>
    </row>
    <row r="76" spans="14:17">
      <c r="N76">
        <v>75</v>
      </c>
      <c r="O76">
        <v>75</v>
      </c>
      <c r="P76">
        <v>75</v>
      </c>
      <c r="Q76" s="26">
        <v>45572</v>
      </c>
    </row>
    <row r="77" spans="14:17">
      <c r="N77">
        <v>76</v>
      </c>
      <c r="O77">
        <v>76</v>
      </c>
      <c r="P77">
        <v>76</v>
      </c>
      <c r="Q77" s="26">
        <v>45835</v>
      </c>
    </row>
    <row r="78" spans="14:17">
      <c r="N78">
        <v>77</v>
      </c>
      <c r="O78">
        <v>77</v>
      </c>
      <c r="P78">
        <v>77</v>
      </c>
      <c r="Q78" s="26">
        <v>45715</v>
      </c>
    </row>
    <row r="79" spans="14:17">
      <c r="N79">
        <v>78</v>
      </c>
      <c r="O79">
        <v>78</v>
      </c>
      <c r="P79">
        <v>78</v>
      </c>
      <c r="Q79" s="26">
        <v>45743</v>
      </c>
    </row>
    <row r="80" spans="14:17">
      <c r="N80">
        <v>79</v>
      </c>
      <c r="O80">
        <v>79</v>
      </c>
      <c r="P80">
        <v>79</v>
      </c>
      <c r="Q80" s="26">
        <v>45717</v>
      </c>
    </row>
    <row r="81" spans="14:17">
      <c r="N81">
        <v>80</v>
      </c>
      <c r="O81">
        <v>80</v>
      </c>
      <c r="P81">
        <v>80</v>
      </c>
      <c r="Q81" s="26">
        <v>45575</v>
      </c>
    </row>
    <row r="82" spans="14:17">
      <c r="N82">
        <v>81</v>
      </c>
      <c r="O82">
        <v>81</v>
      </c>
      <c r="P82">
        <v>81</v>
      </c>
      <c r="Q82" s="26">
        <v>45787</v>
      </c>
    </row>
    <row r="83" spans="14:17">
      <c r="N83">
        <v>82</v>
      </c>
      <c r="O83">
        <v>82</v>
      </c>
      <c r="P83">
        <v>82</v>
      </c>
      <c r="Q83" s="26">
        <v>45833</v>
      </c>
    </row>
    <row r="84" spans="14:17">
      <c r="N84">
        <v>83</v>
      </c>
      <c r="O84">
        <v>83</v>
      </c>
      <c r="P84">
        <v>83</v>
      </c>
      <c r="Q84" s="26">
        <v>45891</v>
      </c>
    </row>
    <row r="85" spans="14:17">
      <c r="N85">
        <v>84</v>
      </c>
      <c r="O85">
        <v>84</v>
      </c>
      <c r="P85">
        <v>84</v>
      </c>
      <c r="Q85" s="26">
        <v>45822</v>
      </c>
    </row>
    <row r="86" spans="14:17">
      <c r="N86">
        <v>85</v>
      </c>
      <c r="O86">
        <v>85</v>
      </c>
      <c r="P86">
        <v>85</v>
      </c>
      <c r="Q86" s="26">
        <v>45675</v>
      </c>
    </row>
    <row r="87" spans="14:17">
      <c r="N87">
        <v>86</v>
      </c>
      <c r="O87">
        <v>86</v>
      </c>
      <c r="P87">
        <v>86</v>
      </c>
      <c r="Q87" s="26">
        <v>45759</v>
      </c>
    </row>
    <row r="88" spans="14:17">
      <c r="N88">
        <v>87</v>
      </c>
      <c r="O88">
        <v>87</v>
      </c>
      <c r="P88">
        <v>87</v>
      </c>
      <c r="Q88" s="26">
        <v>45758</v>
      </c>
    </row>
    <row r="89" spans="14:17">
      <c r="N89">
        <v>88</v>
      </c>
      <c r="O89">
        <v>88</v>
      </c>
      <c r="P89">
        <v>88</v>
      </c>
      <c r="Q89" s="26">
        <v>45888</v>
      </c>
    </row>
    <row r="90" spans="14:17">
      <c r="N90">
        <v>89</v>
      </c>
      <c r="O90">
        <v>89</v>
      </c>
      <c r="P90">
        <v>89</v>
      </c>
      <c r="Q90" s="26">
        <v>45564</v>
      </c>
    </row>
    <row r="91" spans="14:17">
      <c r="N91">
        <v>90</v>
      </c>
      <c r="O91">
        <v>90</v>
      </c>
      <c r="P91">
        <v>90</v>
      </c>
      <c r="Q91" s="26">
        <v>45703</v>
      </c>
    </row>
    <row r="92" spans="14:17">
      <c r="N92">
        <v>91</v>
      </c>
      <c r="O92">
        <v>91</v>
      </c>
      <c r="P92">
        <v>91</v>
      </c>
      <c r="Q92" s="26">
        <v>45674</v>
      </c>
    </row>
    <row r="93" spans="14:17">
      <c r="N93">
        <v>92</v>
      </c>
      <c r="O93">
        <v>92</v>
      </c>
      <c r="P93">
        <v>92</v>
      </c>
      <c r="Q93" s="26">
        <v>45729</v>
      </c>
    </row>
    <row r="94" spans="14:17">
      <c r="N94">
        <v>93</v>
      </c>
      <c r="O94">
        <v>93</v>
      </c>
      <c r="P94">
        <v>93</v>
      </c>
      <c r="Q94" s="26">
        <v>45609</v>
      </c>
    </row>
    <row r="95" spans="14:17">
      <c r="N95">
        <v>94</v>
      </c>
      <c r="O95">
        <v>94</v>
      </c>
      <c r="P95">
        <v>94</v>
      </c>
      <c r="Q95" s="26">
        <v>45686</v>
      </c>
    </row>
    <row r="96" spans="14:17">
      <c r="N96">
        <v>95</v>
      </c>
      <c r="O96">
        <v>95</v>
      </c>
      <c r="P96">
        <v>95</v>
      </c>
      <c r="Q96" s="26">
        <v>45804</v>
      </c>
    </row>
    <row r="97" spans="14:17">
      <c r="N97">
        <v>96</v>
      </c>
      <c r="O97">
        <v>96</v>
      </c>
      <c r="P97">
        <v>96</v>
      </c>
      <c r="Q97" s="26">
        <v>45842</v>
      </c>
    </row>
    <row r="98" spans="14:17">
      <c r="N98">
        <v>97</v>
      </c>
      <c r="O98">
        <v>97</v>
      </c>
      <c r="P98">
        <v>97</v>
      </c>
      <c r="Q98" s="26">
        <v>45707</v>
      </c>
    </row>
    <row r="99" spans="14:17">
      <c r="N99">
        <v>98</v>
      </c>
      <c r="O99">
        <v>98</v>
      </c>
      <c r="P99">
        <v>98</v>
      </c>
      <c r="Q99" s="26">
        <v>45566</v>
      </c>
    </row>
    <row r="100" spans="14:17">
      <c r="N100">
        <v>99</v>
      </c>
      <c r="O100">
        <v>99</v>
      </c>
      <c r="P100">
        <v>99</v>
      </c>
      <c r="Q100" s="26">
        <v>45747</v>
      </c>
    </row>
    <row r="101" spans="14:17">
      <c r="N101">
        <v>100</v>
      </c>
      <c r="O101">
        <v>100</v>
      </c>
      <c r="P101">
        <v>100</v>
      </c>
      <c r="Q101" s="26">
        <v>45630</v>
      </c>
    </row>
    <row r="102" spans="15:16">
      <c r="O102">
        <v>101</v>
      </c>
      <c r="P102">
        <v>101</v>
      </c>
    </row>
    <row r="103" spans="15:16">
      <c r="O103">
        <v>102</v>
      </c>
      <c r="P103">
        <v>102</v>
      </c>
    </row>
    <row r="104" spans="15:16">
      <c r="O104">
        <v>103</v>
      </c>
      <c r="P104">
        <v>103</v>
      </c>
    </row>
    <row r="105" spans="15:16">
      <c r="O105">
        <v>104</v>
      </c>
      <c r="P105">
        <v>104</v>
      </c>
    </row>
    <row r="106" spans="15:16">
      <c r="O106">
        <v>105</v>
      </c>
      <c r="P106">
        <v>105</v>
      </c>
    </row>
    <row r="107" spans="15:16">
      <c r="O107">
        <v>106</v>
      </c>
      <c r="P107">
        <v>106</v>
      </c>
    </row>
    <row r="108" spans="15:16">
      <c r="O108">
        <v>107</v>
      </c>
      <c r="P108">
        <v>107</v>
      </c>
    </row>
    <row r="109" spans="15:16">
      <c r="O109">
        <v>108</v>
      </c>
      <c r="P109">
        <v>108</v>
      </c>
    </row>
    <row r="110" spans="15:16">
      <c r="O110">
        <v>109</v>
      </c>
      <c r="P110">
        <v>109</v>
      </c>
    </row>
    <row r="111" spans="15:16">
      <c r="O111">
        <v>110</v>
      </c>
      <c r="P111">
        <v>110</v>
      </c>
    </row>
    <row r="112" spans="15:16">
      <c r="O112">
        <v>111</v>
      </c>
      <c r="P112">
        <v>111</v>
      </c>
    </row>
    <row r="113" spans="15:16">
      <c r="O113">
        <v>112</v>
      </c>
      <c r="P113">
        <v>112</v>
      </c>
    </row>
    <row r="114" spans="15:16">
      <c r="O114">
        <v>113</v>
      </c>
      <c r="P114">
        <v>113</v>
      </c>
    </row>
    <row r="115" spans="15:16">
      <c r="O115">
        <v>114</v>
      </c>
      <c r="P115">
        <v>114</v>
      </c>
    </row>
    <row r="116" spans="15:16">
      <c r="O116">
        <v>115</v>
      </c>
      <c r="P116">
        <v>115</v>
      </c>
    </row>
    <row r="117" spans="15:16">
      <c r="O117">
        <v>116</v>
      </c>
      <c r="P117">
        <v>116</v>
      </c>
    </row>
    <row r="118" spans="15:16">
      <c r="O118">
        <v>117</v>
      </c>
      <c r="P118">
        <v>117</v>
      </c>
    </row>
    <row r="119" spans="15:16">
      <c r="O119">
        <v>118</v>
      </c>
      <c r="P119">
        <v>118</v>
      </c>
    </row>
    <row r="120" spans="15:16">
      <c r="O120">
        <v>119</v>
      </c>
      <c r="P120">
        <v>119</v>
      </c>
    </row>
    <row r="121" spans="15:16">
      <c r="O121">
        <v>120</v>
      </c>
      <c r="P121">
        <v>120</v>
      </c>
    </row>
    <row r="122" spans="15:15">
      <c r="O122">
        <v>121</v>
      </c>
    </row>
    <row r="123" spans="15:15">
      <c r="O123">
        <v>122</v>
      </c>
    </row>
    <row r="124" spans="15:15">
      <c r="O124">
        <v>123</v>
      </c>
    </row>
    <row r="125" spans="15:15">
      <c r="O125">
        <v>124</v>
      </c>
    </row>
    <row r="126" spans="15:15">
      <c r="O126">
        <v>125</v>
      </c>
    </row>
    <row r="127" spans="15:15">
      <c r="O127">
        <v>126</v>
      </c>
    </row>
    <row r="128" spans="15:15">
      <c r="O128">
        <v>127</v>
      </c>
    </row>
    <row r="129" spans="15:15">
      <c r="O129">
        <v>128</v>
      </c>
    </row>
    <row r="130" spans="15:15">
      <c r="O130">
        <v>129</v>
      </c>
    </row>
    <row r="131" spans="15:15">
      <c r="O131">
        <v>130</v>
      </c>
    </row>
    <row r="132" spans="15:15">
      <c r="O132">
        <v>131</v>
      </c>
    </row>
    <row r="133" spans="15:15">
      <c r="O133">
        <v>132</v>
      </c>
    </row>
    <row r="134" spans="15:15">
      <c r="O134">
        <v>133</v>
      </c>
    </row>
    <row r="135" spans="15:15">
      <c r="O135">
        <v>134</v>
      </c>
    </row>
    <row r="136" spans="15:15">
      <c r="O136">
        <v>135</v>
      </c>
    </row>
    <row r="137" spans="15:15">
      <c r="O137">
        <v>136</v>
      </c>
    </row>
    <row r="138" spans="15:15">
      <c r="O138">
        <v>137</v>
      </c>
    </row>
    <row r="139" spans="15:15">
      <c r="O139">
        <v>138</v>
      </c>
    </row>
    <row r="140" spans="15:15">
      <c r="O140">
        <v>139</v>
      </c>
    </row>
    <row r="141" spans="15:15">
      <c r="O141">
        <v>140</v>
      </c>
    </row>
    <row r="142" spans="15:15">
      <c r="O142">
        <v>141</v>
      </c>
    </row>
    <row r="143" spans="15:15">
      <c r="O143">
        <v>142</v>
      </c>
    </row>
    <row r="144" spans="15:15">
      <c r="O144">
        <v>143</v>
      </c>
    </row>
    <row r="145" spans="15:15">
      <c r="O145">
        <v>144</v>
      </c>
    </row>
    <row r="146" spans="15:15">
      <c r="O146">
        <v>145</v>
      </c>
    </row>
    <row r="147" spans="15:15">
      <c r="O147">
        <v>146</v>
      </c>
    </row>
    <row r="148" spans="15:15">
      <c r="O148">
        <v>147</v>
      </c>
    </row>
    <row r="149" spans="15:15">
      <c r="O149">
        <v>148</v>
      </c>
    </row>
    <row r="150" spans="15:15">
      <c r="O150">
        <v>149</v>
      </c>
    </row>
    <row r="151" spans="15:15">
      <c r="O151">
        <v>150</v>
      </c>
    </row>
  </sheetData>
  <conditionalFormatting sqref="H$1:H$1048576">
    <cfRule type="cellIs" dxfId="9" priority="3" operator="greaterThan">
      <formula>100</formula>
    </cfRule>
  </conditionalFormatting>
  <conditionalFormatting sqref="I$1:I$1048576">
    <cfRule type="top10" dxfId="10" priority="1" rank="10"/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93"/>
  <sheetViews>
    <sheetView workbookViewId="0">
      <selection activeCell="B21" sqref="B21"/>
    </sheetView>
  </sheetViews>
  <sheetFormatPr defaultColWidth="8.88888888888889" defaultRowHeight="14.4"/>
  <cols>
    <col min="1" max="1" width="19.5555555555556"/>
    <col min="2" max="4" width="14.8888888888889"/>
    <col min="5" max="5" width="19.6666666666667"/>
    <col min="8" max="8" width="17.2222222222222" customWidth="1"/>
    <col min="9" max="9" width="14.4444444444444" customWidth="1"/>
    <col min="10" max="10" width="6.44444444444444" customWidth="1"/>
    <col min="11" max="11" width="11.6666666666667"/>
    <col min="12" max="12" width="16.2222222222222"/>
    <col min="13" max="13" width="10.6666666666667" customWidth="1"/>
    <col min="14" max="14" width="12.2222222222222"/>
    <col min="15" max="17" width="21.2222222222222"/>
  </cols>
  <sheetData>
    <row r="3" spans="1:17">
      <c r="A3" t="s">
        <v>128</v>
      </c>
      <c r="B3" t="s">
        <v>328</v>
      </c>
      <c r="C3" t="s">
        <v>329</v>
      </c>
      <c r="D3" t="s">
        <v>330</v>
      </c>
      <c r="E3"/>
      <c r="F3" t="s">
        <v>1</v>
      </c>
      <c r="G3" t="s">
        <v>331</v>
      </c>
      <c r="H3" t="s">
        <v>332</v>
      </c>
      <c r="K3" t="s">
        <v>1</v>
      </c>
      <c r="L3" t="s">
        <v>333</v>
      </c>
      <c r="N3" t="s">
        <v>286</v>
      </c>
      <c r="O3" t="s">
        <v>333</v>
      </c>
      <c r="P3" t="s">
        <v>334</v>
      </c>
      <c r="Q3" t="s">
        <v>335</v>
      </c>
    </row>
    <row r="4" spans="1:17">
      <c r="A4" t="s">
        <v>248</v>
      </c>
      <c r="B4">
        <v>40</v>
      </c>
      <c r="C4">
        <v>40</v>
      </c>
      <c r="D4">
        <v>40</v>
      </c>
      <c r="E4"/>
      <c r="F4">
        <v>1</v>
      </c>
      <c r="G4">
        <v>5</v>
      </c>
      <c r="H4">
        <v>6</v>
      </c>
      <c r="K4">
        <v>91</v>
      </c>
      <c r="L4">
        <v>5</v>
      </c>
      <c r="N4" s="1">
        <v>45551</v>
      </c>
      <c r="O4">
        <v>1</v>
      </c>
      <c r="P4">
        <v>1</v>
      </c>
      <c r="Q4">
        <v>1</v>
      </c>
    </row>
    <row r="5" spans="1:17">
      <c r="A5" t="s">
        <v>170</v>
      </c>
      <c r="B5">
        <v>14</v>
      </c>
      <c r="C5">
        <v>14</v>
      </c>
      <c r="D5">
        <v>14</v>
      </c>
      <c r="E5"/>
      <c r="F5">
        <v>2</v>
      </c>
      <c r="G5">
        <v>1</v>
      </c>
      <c r="H5">
        <v>1</v>
      </c>
      <c r="K5">
        <v>63</v>
      </c>
      <c r="L5">
        <v>5</v>
      </c>
      <c r="N5" s="1">
        <v>45554</v>
      </c>
      <c r="O5">
        <v>3</v>
      </c>
      <c r="P5">
        <v>3</v>
      </c>
      <c r="Q5">
        <v>3</v>
      </c>
    </row>
    <row r="6" spans="1:17">
      <c r="A6" t="s">
        <v>245</v>
      </c>
      <c r="B6">
        <v>39</v>
      </c>
      <c r="C6">
        <v>39</v>
      </c>
      <c r="D6">
        <v>39</v>
      </c>
      <c r="E6"/>
      <c r="F6">
        <v>3</v>
      </c>
      <c r="G6">
        <v>3</v>
      </c>
      <c r="H6">
        <v>2</v>
      </c>
      <c r="K6">
        <v>92</v>
      </c>
      <c r="L6">
        <v>4</v>
      </c>
      <c r="N6" s="1">
        <v>45564</v>
      </c>
      <c r="O6">
        <v>1</v>
      </c>
      <c r="P6">
        <v>1</v>
      </c>
      <c r="Q6">
        <v>1</v>
      </c>
    </row>
    <row r="7" spans="1:17">
      <c r="A7" t="s">
        <v>194</v>
      </c>
      <c r="B7">
        <v>22</v>
      </c>
      <c r="C7">
        <v>22</v>
      </c>
      <c r="D7">
        <v>22</v>
      </c>
      <c r="E7"/>
      <c r="F7">
        <v>4</v>
      </c>
      <c r="G7">
        <v>3</v>
      </c>
      <c r="H7">
        <v>5</v>
      </c>
      <c r="K7">
        <v>73</v>
      </c>
      <c r="L7">
        <v>4</v>
      </c>
      <c r="N7" s="1">
        <v>45566</v>
      </c>
      <c r="O7">
        <v>2</v>
      </c>
      <c r="P7">
        <v>2</v>
      </c>
      <c r="Q7">
        <v>2</v>
      </c>
    </row>
    <row r="8" spans="1:17">
      <c r="A8" t="s">
        <v>254</v>
      </c>
      <c r="B8">
        <v>42</v>
      </c>
      <c r="C8">
        <v>42</v>
      </c>
      <c r="D8">
        <v>42</v>
      </c>
      <c r="E8"/>
      <c r="F8">
        <v>5</v>
      </c>
      <c r="G8">
        <v>1</v>
      </c>
      <c r="H8">
        <v>2</v>
      </c>
      <c r="K8">
        <v>51</v>
      </c>
      <c r="L8">
        <v>4</v>
      </c>
      <c r="N8" s="1">
        <v>45572</v>
      </c>
      <c r="O8">
        <v>1</v>
      </c>
      <c r="P8">
        <v>1</v>
      </c>
      <c r="Q8">
        <v>1</v>
      </c>
    </row>
    <row r="9" spans="1:17">
      <c r="A9" t="s">
        <v>206</v>
      </c>
      <c r="B9">
        <v>26</v>
      </c>
      <c r="C9">
        <v>26</v>
      </c>
      <c r="D9">
        <v>26</v>
      </c>
      <c r="E9"/>
      <c r="F9">
        <v>6</v>
      </c>
      <c r="G9">
        <v>2</v>
      </c>
      <c r="H9">
        <v>2</v>
      </c>
      <c r="K9">
        <v>46</v>
      </c>
      <c r="L9">
        <v>4</v>
      </c>
      <c r="N9" s="1">
        <v>45573</v>
      </c>
      <c r="O9">
        <v>1</v>
      </c>
      <c r="P9">
        <v>1</v>
      </c>
      <c r="Q9">
        <v>1</v>
      </c>
    </row>
    <row r="10" spans="1:17">
      <c r="A10" t="s">
        <v>191</v>
      </c>
      <c r="B10">
        <v>21</v>
      </c>
      <c r="C10">
        <v>21</v>
      </c>
      <c r="D10">
        <v>21</v>
      </c>
      <c r="E10"/>
      <c r="F10">
        <v>7</v>
      </c>
      <c r="G10">
        <v>3</v>
      </c>
      <c r="H10">
        <v>5</v>
      </c>
      <c r="K10">
        <v>33</v>
      </c>
      <c r="L10">
        <v>4</v>
      </c>
      <c r="N10" s="1">
        <v>45575</v>
      </c>
      <c r="O10">
        <v>1</v>
      </c>
      <c r="P10">
        <v>1</v>
      </c>
      <c r="Q10">
        <v>1</v>
      </c>
    </row>
    <row r="11" spans="1:17">
      <c r="A11" t="s">
        <v>188</v>
      </c>
      <c r="B11">
        <v>20</v>
      </c>
      <c r="C11">
        <v>20</v>
      </c>
      <c r="D11">
        <v>20</v>
      </c>
      <c r="E11"/>
      <c r="F11">
        <v>8</v>
      </c>
      <c r="G11">
        <v>2</v>
      </c>
      <c r="H11">
        <v>2</v>
      </c>
      <c r="K11">
        <v>7</v>
      </c>
      <c r="L11">
        <v>4</v>
      </c>
      <c r="N11" s="1">
        <v>45582</v>
      </c>
      <c r="O11">
        <v>1</v>
      </c>
      <c r="P11">
        <v>1</v>
      </c>
      <c r="Q11">
        <v>1</v>
      </c>
    </row>
    <row r="12" spans="1:17">
      <c r="A12" t="s">
        <v>260</v>
      </c>
      <c r="B12">
        <v>44</v>
      </c>
      <c r="C12">
        <v>44</v>
      </c>
      <c r="D12">
        <v>44</v>
      </c>
      <c r="E12"/>
      <c r="F12">
        <v>9</v>
      </c>
      <c r="G12">
        <v>2</v>
      </c>
      <c r="H12">
        <v>0</v>
      </c>
      <c r="K12">
        <v>94</v>
      </c>
      <c r="L12">
        <v>3</v>
      </c>
      <c r="N12" s="1">
        <v>45587</v>
      </c>
      <c r="O12">
        <v>1</v>
      </c>
      <c r="P12">
        <v>1</v>
      </c>
      <c r="Q12">
        <v>1</v>
      </c>
    </row>
    <row r="13" spans="1:17">
      <c r="A13" t="s">
        <v>134</v>
      </c>
      <c r="B13">
        <v>2</v>
      </c>
      <c r="C13">
        <v>2</v>
      </c>
      <c r="D13">
        <v>2</v>
      </c>
      <c r="E13"/>
      <c r="F13">
        <v>10</v>
      </c>
      <c r="G13">
        <v>1</v>
      </c>
      <c r="H13">
        <v>7</v>
      </c>
      <c r="K13">
        <v>93</v>
      </c>
      <c r="L13">
        <v>3</v>
      </c>
      <c r="N13" s="1">
        <v>45592</v>
      </c>
      <c r="O13">
        <v>1</v>
      </c>
      <c r="P13">
        <v>1</v>
      </c>
      <c r="Q13">
        <v>1</v>
      </c>
    </row>
    <row r="14" spans="1:17">
      <c r="A14" t="s">
        <v>140</v>
      </c>
      <c r="B14">
        <v>4</v>
      </c>
      <c r="C14">
        <v>4</v>
      </c>
      <c r="D14">
        <v>4</v>
      </c>
      <c r="E14"/>
      <c r="F14">
        <v>11</v>
      </c>
      <c r="G14">
        <v>0</v>
      </c>
      <c r="H14">
        <v>3</v>
      </c>
      <c r="K14">
        <v>81</v>
      </c>
      <c r="L14">
        <v>3</v>
      </c>
      <c r="N14" s="1">
        <v>45596</v>
      </c>
      <c r="O14">
        <v>1</v>
      </c>
      <c r="P14">
        <v>1</v>
      </c>
      <c r="Q14">
        <v>1</v>
      </c>
    </row>
    <row r="15" spans="1:17">
      <c r="A15" t="s">
        <v>236</v>
      </c>
      <c r="B15">
        <v>36</v>
      </c>
      <c r="C15">
        <v>36</v>
      </c>
      <c r="D15">
        <v>36</v>
      </c>
      <c r="E15"/>
      <c r="F15">
        <v>12</v>
      </c>
      <c r="G15">
        <v>2</v>
      </c>
      <c r="H15">
        <v>0</v>
      </c>
      <c r="K15">
        <v>80</v>
      </c>
      <c r="L15">
        <v>3</v>
      </c>
      <c r="N15" s="1">
        <v>45608</v>
      </c>
      <c r="O15">
        <v>1</v>
      </c>
      <c r="P15">
        <v>1</v>
      </c>
      <c r="Q15">
        <v>1</v>
      </c>
    </row>
    <row r="16" spans="1:17">
      <c r="A16" t="s">
        <v>263</v>
      </c>
      <c r="B16">
        <v>45</v>
      </c>
      <c r="C16">
        <v>45</v>
      </c>
      <c r="D16">
        <v>45</v>
      </c>
      <c r="E16"/>
      <c r="F16">
        <v>13</v>
      </c>
      <c r="G16">
        <v>1</v>
      </c>
      <c r="H16">
        <v>3</v>
      </c>
      <c r="K16">
        <v>76</v>
      </c>
      <c r="L16">
        <v>3</v>
      </c>
      <c r="N16" s="1">
        <v>45609</v>
      </c>
      <c r="O16">
        <v>1</v>
      </c>
      <c r="P16">
        <v>1</v>
      </c>
      <c r="Q16">
        <v>1</v>
      </c>
    </row>
    <row r="17" spans="1:17">
      <c r="A17" t="s">
        <v>227</v>
      </c>
      <c r="B17">
        <v>33</v>
      </c>
      <c r="C17">
        <v>33</v>
      </c>
      <c r="D17">
        <v>33</v>
      </c>
      <c r="E17"/>
      <c r="F17">
        <v>14</v>
      </c>
      <c r="G17">
        <v>1</v>
      </c>
      <c r="H17">
        <v>4</v>
      </c>
      <c r="K17">
        <v>75</v>
      </c>
      <c r="L17">
        <v>3</v>
      </c>
      <c r="N17" s="1">
        <v>45616</v>
      </c>
      <c r="O17">
        <v>1</v>
      </c>
      <c r="P17">
        <v>1</v>
      </c>
      <c r="Q17">
        <v>1</v>
      </c>
    </row>
    <row r="18" spans="1:17">
      <c r="A18" t="s">
        <v>176</v>
      </c>
      <c r="B18">
        <v>16</v>
      </c>
      <c r="C18">
        <v>16</v>
      </c>
      <c r="D18">
        <v>16</v>
      </c>
      <c r="E18"/>
      <c r="F18">
        <v>15</v>
      </c>
      <c r="G18">
        <v>1</v>
      </c>
      <c r="H18">
        <v>2</v>
      </c>
      <c r="K18">
        <v>50</v>
      </c>
      <c r="L18">
        <v>3</v>
      </c>
      <c r="N18" s="1">
        <v>45617</v>
      </c>
      <c r="O18">
        <v>1</v>
      </c>
      <c r="P18">
        <v>1</v>
      </c>
      <c r="Q18">
        <v>1</v>
      </c>
    </row>
    <row r="19" spans="1:17">
      <c r="A19" t="s">
        <v>239</v>
      </c>
      <c r="B19">
        <v>37</v>
      </c>
      <c r="C19">
        <v>37</v>
      </c>
      <c r="D19">
        <v>37</v>
      </c>
      <c r="E19"/>
      <c r="F19">
        <v>16</v>
      </c>
      <c r="G19">
        <v>5</v>
      </c>
      <c r="H19">
        <v>2</v>
      </c>
      <c r="K19">
        <v>39</v>
      </c>
      <c r="L19">
        <v>3</v>
      </c>
      <c r="N19" s="1">
        <v>45618</v>
      </c>
      <c r="O19">
        <v>1</v>
      </c>
      <c r="P19">
        <v>1</v>
      </c>
      <c r="Q19">
        <v>1</v>
      </c>
    </row>
    <row r="20" spans="1:17">
      <c r="A20" t="s">
        <v>158</v>
      </c>
      <c r="B20">
        <v>10</v>
      </c>
      <c r="C20">
        <v>10</v>
      </c>
      <c r="D20">
        <v>10</v>
      </c>
      <c r="E20"/>
      <c r="F20">
        <v>17</v>
      </c>
      <c r="G20">
        <v>1</v>
      </c>
      <c r="H20">
        <v>7</v>
      </c>
      <c r="K20">
        <v>19</v>
      </c>
      <c r="L20">
        <v>3</v>
      </c>
      <c r="N20" s="1">
        <v>45621</v>
      </c>
      <c r="O20">
        <v>2</v>
      </c>
      <c r="P20">
        <v>2</v>
      </c>
      <c r="Q20">
        <v>2</v>
      </c>
    </row>
    <row r="21" spans="1:17">
      <c r="A21" t="s">
        <v>155</v>
      </c>
      <c r="B21">
        <v>9</v>
      </c>
      <c r="C21">
        <v>9</v>
      </c>
      <c r="D21">
        <v>9</v>
      </c>
      <c r="E21"/>
      <c r="F21">
        <v>18</v>
      </c>
      <c r="G21">
        <v>2</v>
      </c>
      <c r="H21">
        <v>2</v>
      </c>
      <c r="K21">
        <v>10</v>
      </c>
      <c r="L21">
        <v>3</v>
      </c>
      <c r="N21" s="1">
        <v>45624</v>
      </c>
      <c r="O21">
        <v>2</v>
      </c>
      <c r="P21">
        <v>2</v>
      </c>
      <c r="Q21">
        <v>2</v>
      </c>
    </row>
    <row r="22" spans="1:17">
      <c r="A22" t="s">
        <v>161</v>
      </c>
      <c r="B22">
        <v>11</v>
      </c>
      <c r="C22">
        <v>11</v>
      </c>
      <c r="D22">
        <v>11</v>
      </c>
      <c r="E22"/>
      <c r="F22">
        <v>19</v>
      </c>
      <c r="G22">
        <v>2</v>
      </c>
      <c r="H22">
        <v>1</v>
      </c>
      <c r="K22">
        <v>2</v>
      </c>
      <c r="L22">
        <v>3</v>
      </c>
      <c r="N22" s="1">
        <v>45626</v>
      </c>
      <c r="O22">
        <v>1</v>
      </c>
      <c r="P22">
        <v>1</v>
      </c>
      <c r="Q22">
        <v>1</v>
      </c>
    </row>
    <row r="23" spans="1:17">
      <c r="A23" t="s">
        <v>200</v>
      </c>
      <c r="B23">
        <v>24</v>
      </c>
      <c r="C23">
        <v>24</v>
      </c>
      <c r="D23">
        <v>24</v>
      </c>
      <c r="E23"/>
      <c r="F23">
        <v>20</v>
      </c>
      <c r="G23">
        <v>3</v>
      </c>
      <c r="H23">
        <v>4</v>
      </c>
      <c r="K23">
        <v>98</v>
      </c>
      <c r="L23">
        <v>2</v>
      </c>
      <c r="N23" s="1">
        <v>45629</v>
      </c>
      <c r="O23">
        <v>1</v>
      </c>
      <c r="P23">
        <v>1</v>
      </c>
      <c r="Q23">
        <v>1</v>
      </c>
    </row>
    <row r="24" spans="1:17">
      <c r="A24" t="s">
        <v>185</v>
      </c>
      <c r="B24">
        <v>19</v>
      </c>
      <c r="C24">
        <v>19</v>
      </c>
      <c r="D24">
        <v>19</v>
      </c>
      <c r="E24"/>
      <c r="F24">
        <v>21</v>
      </c>
      <c r="G24">
        <v>3</v>
      </c>
      <c r="H24">
        <v>7</v>
      </c>
      <c r="K24">
        <v>96</v>
      </c>
      <c r="L24">
        <v>2</v>
      </c>
      <c r="N24" s="1">
        <v>45630</v>
      </c>
      <c r="O24">
        <v>1</v>
      </c>
      <c r="P24">
        <v>1</v>
      </c>
      <c r="Q24">
        <v>1</v>
      </c>
    </row>
    <row r="25" spans="1:17">
      <c r="A25" t="s">
        <v>164</v>
      </c>
      <c r="B25">
        <v>12</v>
      </c>
      <c r="C25">
        <v>12</v>
      </c>
      <c r="D25">
        <v>12</v>
      </c>
      <c r="E25"/>
      <c r="F25">
        <v>22</v>
      </c>
      <c r="G25">
        <v>4</v>
      </c>
      <c r="H25">
        <v>2</v>
      </c>
      <c r="K25">
        <v>87</v>
      </c>
      <c r="L25">
        <v>2</v>
      </c>
      <c r="N25" s="1">
        <v>45633</v>
      </c>
      <c r="O25">
        <v>2</v>
      </c>
      <c r="P25">
        <v>2</v>
      </c>
      <c r="Q25">
        <v>2</v>
      </c>
    </row>
    <row r="26" spans="1:17">
      <c r="A26" t="s">
        <v>272</v>
      </c>
      <c r="B26">
        <v>48</v>
      </c>
      <c r="C26">
        <v>48</v>
      </c>
      <c r="D26">
        <v>48</v>
      </c>
      <c r="E26"/>
      <c r="F26">
        <v>23</v>
      </c>
      <c r="G26">
        <v>4</v>
      </c>
      <c r="H26">
        <v>3</v>
      </c>
      <c r="K26">
        <v>85</v>
      </c>
      <c r="L26">
        <v>2</v>
      </c>
      <c r="N26" s="1">
        <v>45639</v>
      </c>
      <c r="O26">
        <v>1</v>
      </c>
      <c r="P26">
        <v>1</v>
      </c>
      <c r="Q26">
        <v>1</v>
      </c>
    </row>
    <row r="27" spans="1:17">
      <c r="A27" t="s">
        <v>179</v>
      </c>
      <c r="B27">
        <v>17</v>
      </c>
      <c r="C27">
        <v>17</v>
      </c>
      <c r="D27">
        <v>17</v>
      </c>
      <c r="E27"/>
      <c r="F27">
        <v>24</v>
      </c>
      <c r="G27">
        <v>2</v>
      </c>
      <c r="H27">
        <v>1</v>
      </c>
      <c r="K27">
        <v>79</v>
      </c>
      <c r="L27">
        <v>2</v>
      </c>
      <c r="N27" s="1">
        <v>45643</v>
      </c>
      <c r="O27">
        <v>1</v>
      </c>
      <c r="P27">
        <v>1</v>
      </c>
      <c r="Q27">
        <v>1</v>
      </c>
    </row>
    <row r="28" spans="1:17">
      <c r="A28" t="s">
        <v>203</v>
      </c>
      <c r="B28">
        <v>25</v>
      </c>
      <c r="C28">
        <v>25</v>
      </c>
      <c r="D28">
        <v>25</v>
      </c>
      <c r="E28"/>
      <c r="F28">
        <v>25</v>
      </c>
      <c r="G28">
        <v>4</v>
      </c>
      <c r="H28">
        <v>2</v>
      </c>
      <c r="K28">
        <v>78</v>
      </c>
      <c r="L28">
        <v>2</v>
      </c>
      <c r="N28" s="1">
        <v>45647</v>
      </c>
      <c r="O28">
        <v>1</v>
      </c>
      <c r="P28">
        <v>1</v>
      </c>
      <c r="Q28">
        <v>1</v>
      </c>
    </row>
    <row r="29" spans="1:17">
      <c r="A29" t="s">
        <v>197</v>
      </c>
      <c r="B29">
        <v>23</v>
      </c>
      <c r="C29">
        <v>23</v>
      </c>
      <c r="D29">
        <v>23</v>
      </c>
      <c r="E29"/>
      <c r="F29">
        <v>26</v>
      </c>
      <c r="G29">
        <v>0</v>
      </c>
      <c r="H29">
        <v>2</v>
      </c>
      <c r="K29">
        <v>77</v>
      </c>
      <c r="L29">
        <v>2</v>
      </c>
      <c r="N29" s="1">
        <v>45659</v>
      </c>
      <c r="O29">
        <v>1</v>
      </c>
      <c r="P29">
        <v>1</v>
      </c>
      <c r="Q29">
        <v>1</v>
      </c>
    </row>
    <row r="30" spans="1:17">
      <c r="A30" t="s">
        <v>221</v>
      </c>
      <c r="B30">
        <v>31</v>
      </c>
      <c r="C30">
        <v>31</v>
      </c>
      <c r="D30">
        <v>31</v>
      </c>
      <c r="E30"/>
      <c r="F30">
        <v>27</v>
      </c>
      <c r="G30">
        <v>3</v>
      </c>
      <c r="H30">
        <v>4</v>
      </c>
      <c r="K30">
        <v>70</v>
      </c>
      <c r="L30">
        <v>2</v>
      </c>
      <c r="N30" s="1">
        <v>45660</v>
      </c>
      <c r="O30">
        <v>1</v>
      </c>
      <c r="P30">
        <v>1</v>
      </c>
      <c r="Q30">
        <v>1</v>
      </c>
    </row>
    <row r="31" spans="1:17">
      <c r="A31" t="s">
        <v>212</v>
      </c>
      <c r="B31">
        <v>28</v>
      </c>
      <c r="C31">
        <v>28</v>
      </c>
      <c r="D31">
        <v>28</v>
      </c>
      <c r="E31"/>
      <c r="F31">
        <v>28</v>
      </c>
      <c r="G31">
        <v>4</v>
      </c>
      <c r="H31">
        <v>3</v>
      </c>
      <c r="K31">
        <v>68</v>
      </c>
      <c r="L31">
        <v>2</v>
      </c>
      <c r="N31" s="1">
        <v>45665</v>
      </c>
      <c r="O31">
        <v>2</v>
      </c>
      <c r="P31">
        <v>2</v>
      </c>
      <c r="Q31">
        <v>2</v>
      </c>
    </row>
    <row r="32" spans="1:17">
      <c r="A32" t="s">
        <v>152</v>
      </c>
      <c r="B32">
        <v>8</v>
      </c>
      <c r="C32">
        <v>8</v>
      </c>
      <c r="D32">
        <v>8</v>
      </c>
      <c r="E32"/>
      <c r="F32">
        <v>29</v>
      </c>
      <c r="G32">
        <v>5</v>
      </c>
      <c r="H32">
        <v>2</v>
      </c>
      <c r="K32">
        <v>64</v>
      </c>
      <c r="L32">
        <v>2</v>
      </c>
      <c r="N32" s="1">
        <v>45670</v>
      </c>
      <c r="O32">
        <v>1</v>
      </c>
      <c r="P32">
        <v>1</v>
      </c>
      <c r="Q32">
        <v>1</v>
      </c>
    </row>
    <row r="33" spans="1:17">
      <c r="A33" t="s">
        <v>269</v>
      </c>
      <c r="B33">
        <v>47</v>
      </c>
      <c r="C33">
        <v>47</v>
      </c>
      <c r="D33">
        <v>47</v>
      </c>
      <c r="E33"/>
      <c r="F33">
        <v>30</v>
      </c>
      <c r="G33">
        <v>4</v>
      </c>
      <c r="H33">
        <v>6</v>
      </c>
      <c r="K33">
        <v>59</v>
      </c>
      <c r="L33">
        <v>2</v>
      </c>
      <c r="N33" s="1">
        <v>45674</v>
      </c>
      <c r="O33">
        <v>1</v>
      </c>
      <c r="P33">
        <v>1</v>
      </c>
      <c r="Q33">
        <v>1</v>
      </c>
    </row>
    <row r="34" spans="1:17">
      <c r="A34" t="s">
        <v>182</v>
      </c>
      <c r="B34">
        <v>18</v>
      </c>
      <c r="C34">
        <v>18</v>
      </c>
      <c r="D34">
        <v>18</v>
      </c>
      <c r="E34"/>
      <c r="F34">
        <v>31</v>
      </c>
      <c r="G34">
        <v>0</v>
      </c>
      <c r="H34">
        <v>2</v>
      </c>
      <c r="K34">
        <v>49</v>
      </c>
      <c r="L34">
        <v>2</v>
      </c>
      <c r="N34" s="1">
        <v>45675</v>
      </c>
      <c r="O34">
        <v>1</v>
      </c>
      <c r="P34">
        <v>1</v>
      </c>
      <c r="Q34">
        <v>1</v>
      </c>
    </row>
    <row r="35" spans="1:17">
      <c r="A35" t="s">
        <v>173</v>
      </c>
      <c r="B35">
        <v>15</v>
      </c>
      <c r="C35">
        <v>15</v>
      </c>
      <c r="D35">
        <v>15</v>
      </c>
      <c r="E35"/>
      <c r="F35">
        <v>32</v>
      </c>
      <c r="G35">
        <v>5</v>
      </c>
      <c r="H35">
        <v>3</v>
      </c>
      <c r="K35">
        <v>42</v>
      </c>
      <c r="L35">
        <v>2</v>
      </c>
      <c r="N35" s="1">
        <v>45676</v>
      </c>
      <c r="O35">
        <v>1</v>
      </c>
      <c r="P35">
        <v>1</v>
      </c>
      <c r="Q35">
        <v>1</v>
      </c>
    </row>
    <row r="36" spans="1:17">
      <c r="A36" t="s">
        <v>275</v>
      </c>
      <c r="B36">
        <v>49</v>
      </c>
      <c r="C36">
        <v>49</v>
      </c>
      <c r="D36">
        <v>49</v>
      </c>
      <c r="E36"/>
      <c r="F36">
        <v>33</v>
      </c>
      <c r="G36">
        <v>3</v>
      </c>
      <c r="H36">
        <v>5</v>
      </c>
      <c r="K36">
        <v>40</v>
      </c>
      <c r="L36">
        <v>2</v>
      </c>
      <c r="N36" s="1">
        <v>45678</v>
      </c>
      <c r="O36">
        <v>1</v>
      </c>
      <c r="P36">
        <v>1</v>
      </c>
      <c r="Q36">
        <v>1</v>
      </c>
    </row>
    <row r="37" spans="1:17">
      <c r="A37" t="s">
        <v>251</v>
      </c>
      <c r="B37">
        <v>41</v>
      </c>
      <c r="C37">
        <v>41</v>
      </c>
      <c r="D37">
        <v>41</v>
      </c>
      <c r="E37"/>
      <c r="F37">
        <v>34</v>
      </c>
      <c r="G37">
        <v>4</v>
      </c>
      <c r="H37">
        <v>0</v>
      </c>
      <c r="K37">
        <v>37</v>
      </c>
      <c r="L37">
        <v>2</v>
      </c>
      <c r="N37" s="1">
        <v>45682</v>
      </c>
      <c r="O37">
        <v>1</v>
      </c>
      <c r="P37">
        <v>1</v>
      </c>
      <c r="Q37">
        <v>1</v>
      </c>
    </row>
    <row r="38" spans="1:17">
      <c r="A38" t="s">
        <v>131</v>
      </c>
      <c r="B38">
        <v>1</v>
      </c>
      <c r="C38">
        <v>1</v>
      </c>
      <c r="D38">
        <v>1</v>
      </c>
      <c r="E38"/>
      <c r="F38">
        <v>35</v>
      </c>
      <c r="G38">
        <v>1</v>
      </c>
      <c r="H38">
        <v>3</v>
      </c>
      <c r="K38">
        <v>31</v>
      </c>
      <c r="L38">
        <v>2</v>
      </c>
      <c r="N38" s="1">
        <v>45686</v>
      </c>
      <c r="O38">
        <v>1</v>
      </c>
      <c r="P38">
        <v>1</v>
      </c>
      <c r="Q38">
        <v>1</v>
      </c>
    </row>
    <row r="39" spans="1:17">
      <c r="A39" t="s">
        <v>224</v>
      </c>
      <c r="B39">
        <v>32</v>
      </c>
      <c r="C39">
        <v>32</v>
      </c>
      <c r="D39">
        <v>32</v>
      </c>
      <c r="E39"/>
      <c r="F39">
        <v>36</v>
      </c>
      <c r="G39">
        <v>3</v>
      </c>
      <c r="H39">
        <v>3</v>
      </c>
      <c r="K39">
        <v>21</v>
      </c>
      <c r="L39">
        <v>2</v>
      </c>
      <c r="N39" s="1">
        <v>45691</v>
      </c>
      <c r="O39">
        <v>1</v>
      </c>
      <c r="P39">
        <v>1</v>
      </c>
      <c r="Q39">
        <v>1</v>
      </c>
    </row>
    <row r="40" spans="1:17">
      <c r="A40" t="s">
        <v>257</v>
      </c>
      <c r="B40">
        <v>43</v>
      </c>
      <c r="C40">
        <v>43</v>
      </c>
      <c r="D40">
        <v>43</v>
      </c>
      <c r="E40"/>
      <c r="F40">
        <v>37</v>
      </c>
      <c r="G40">
        <v>0</v>
      </c>
      <c r="H40">
        <v>1</v>
      </c>
      <c r="K40">
        <v>18</v>
      </c>
      <c r="L40">
        <v>2</v>
      </c>
      <c r="N40" s="1">
        <v>45693</v>
      </c>
      <c r="O40">
        <v>1</v>
      </c>
      <c r="P40">
        <v>1</v>
      </c>
      <c r="Q40">
        <v>1</v>
      </c>
    </row>
    <row r="41" spans="1:17">
      <c r="A41" t="s">
        <v>215</v>
      </c>
      <c r="B41">
        <v>29</v>
      </c>
      <c r="C41">
        <v>29</v>
      </c>
      <c r="D41">
        <v>29</v>
      </c>
      <c r="E41"/>
      <c r="F41">
        <v>38</v>
      </c>
      <c r="G41">
        <v>2</v>
      </c>
      <c r="H41">
        <v>4</v>
      </c>
      <c r="K41">
        <v>16</v>
      </c>
      <c r="L41">
        <v>2</v>
      </c>
      <c r="N41" s="1">
        <v>45694</v>
      </c>
      <c r="O41">
        <v>1</v>
      </c>
      <c r="P41">
        <v>1</v>
      </c>
      <c r="Q41">
        <v>1</v>
      </c>
    </row>
    <row r="42" spans="1:17">
      <c r="A42" t="s">
        <v>218</v>
      </c>
      <c r="B42">
        <v>30</v>
      </c>
      <c r="C42">
        <v>30</v>
      </c>
      <c r="D42">
        <v>30</v>
      </c>
      <c r="E42"/>
      <c r="F42">
        <v>39</v>
      </c>
      <c r="G42">
        <v>0</v>
      </c>
      <c r="H42">
        <v>3</v>
      </c>
      <c r="K42">
        <v>15</v>
      </c>
      <c r="L42">
        <v>2</v>
      </c>
      <c r="N42" s="1">
        <v>45700</v>
      </c>
      <c r="O42">
        <v>1</v>
      </c>
      <c r="P42">
        <v>1</v>
      </c>
      <c r="Q42">
        <v>1</v>
      </c>
    </row>
    <row r="43" spans="1:17">
      <c r="A43" t="s">
        <v>146</v>
      </c>
      <c r="B43">
        <v>6</v>
      </c>
      <c r="C43">
        <v>6</v>
      </c>
      <c r="D43">
        <v>6</v>
      </c>
      <c r="E43"/>
      <c r="F43">
        <v>40</v>
      </c>
      <c r="G43">
        <v>2</v>
      </c>
      <c r="H43">
        <v>3</v>
      </c>
      <c r="K43">
        <v>14</v>
      </c>
      <c r="L43">
        <v>2</v>
      </c>
      <c r="N43" s="1">
        <v>45703</v>
      </c>
      <c r="O43">
        <v>2</v>
      </c>
      <c r="P43">
        <v>2</v>
      </c>
      <c r="Q43">
        <v>2</v>
      </c>
    </row>
    <row r="44" spans="1:17">
      <c r="A44" t="s">
        <v>266</v>
      </c>
      <c r="B44">
        <v>46</v>
      </c>
      <c r="C44">
        <v>46</v>
      </c>
      <c r="D44">
        <v>46</v>
      </c>
      <c r="E44"/>
      <c r="F44">
        <v>41</v>
      </c>
      <c r="G44">
        <v>1</v>
      </c>
      <c r="H44">
        <v>2</v>
      </c>
      <c r="K44">
        <v>13</v>
      </c>
      <c r="L44">
        <v>2</v>
      </c>
      <c r="N44" s="1">
        <v>45704</v>
      </c>
      <c r="O44">
        <v>1</v>
      </c>
      <c r="P44">
        <v>1</v>
      </c>
      <c r="Q44">
        <v>1</v>
      </c>
    </row>
    <row r="45" spans="1:17">
      <c r="A45" t="s">
        <v>233</v>
      </c>
      <c r="B45">
        <v>35</v>
      </c>
      <c r="C45">
        <v>35</v>
      </c>
      <c r="D45">
        <v>35</v>
      </c>
      <c r="E45"/>
      <c r="F45">
        <v>42</v>
      </c>
      <c r="G45">
        <v>4</v>
      </c>
      <c r="H45">
        <v>7</v>
      </c>
      <c r="K45">
        <v>8</v>
      </c>
      <c r="L45">
        <v>2</v>
      </c>
      <c r="N45" s="1">
        <v>45705</v>
      </c>
      <c r="O45">
        <v>1</v>
      </c>
      <c r="P45">
        <v>1</v>
      </c>
      <c r="Q45">
        <v>1</v>
      </c>
    </row>
    <row r="46" spans="1:17">
      <c r="A46" t="s">
        <v>230</v>
      </c>
      <c r="B46">
        <v>34</v>
      </c>
      <c r="C46">
        <v>34</v>
      </c>
      <c r="D46">
        <v>34</v>
      </c>
      <c r="E46"/>
      <c r="F46">
        <v>43</v>
      </c>
      <c r="G46">
        <v>3</v>
      </c>
      <c r="H46">
        <v>1</v>
      </c>
      <c r="K46">
        <v>4</v>
      </c>
      <c r="L46">
        <v>2</v>
      </c>
      <c r="N46" s="1">
        <v>45707</v>
      </c>
      <c r="O46">
        <v>1</v>
      </c>
      <c r="P46">
        <v>1</v>
      </c>
      <c r="Q46">
        <v>1</v>
      </c>
    </row>
    <row r="47" spans="1:17">
      <c r="A47" t="s">
        <v>242</v>
      </c>
      <c r="B47">
        <v>38</v>
      </c>
      <c r="C47">
        <v>38</v>
      </c>
      <c r="D47">
        <v>38</v>
      </c>
      <c r="E47"/>
      <c r="F47">
        <v>44</v>
      </c>
      <c r="G47">
        <v>2</v>
      </c>
      <c r="H47">
        <v>2</v>
      </c>
      <c r="K47">
        <v>99</v>
      </c>
      <c r="L47">
        <v>1</v>
      </c>
      <c r="N47" s="1">
        <v>45715</v>
      </c>
      <c r="O47">
        <v>1</v>
      </c>
      <c r="P47">
        <v>1</v>
      </c>
      <c r="Q47">
        <v>1</v>
      </c>
    </row>
    <row r="48" spans="1:17">
      <c r="A48" t="s">
        <v>143</v>
      </c>
      <c r="B48">
        <v>5</v>
      </c>
      <c r="C48">
        <v>5</v>
      </c>
      <c r="D48">
        <v>5</v>
      </c>
      <c r="E48"/>
      <c r="F48">
        <v>45</v>
      </c>
      <c r="G48">
        <v>4</v>
      </c>
      <c r="H48">
        <v>4</v>
      </c>
      <c r="K48">
        <v>95</v>
      </c>
      <c r="L48">
        <v>1</v>
      </c>
      <c r="N48" s="1">
        <v>45716</v>
      </c>
      <c r="O48">
        <v>1</v>
      </c>
      <c r="P48">
        <v>1</v>
      </c>
      <c r="Q48">
        <v>1</v>
      </c>
    </row>
    <row r="49" spans="1:17">
      <c r="A49" t="s">
        <v>167</v>
      </c>
      <c r="B49">
        <v>13</v>
      </c>
      <c r="C49">
        <v>13</v>
      </c>
      <c r="D49">
        <v>13</v>
      </c>
      <c r="E49"/>
      <c r="F49">
        <v>46</v>
      </c>
      <c r="G49">
        <v>5</v>
      </c>
      <c r="H49">
        <v>5</v>
      </c>
      <c r="K49">
        <v>90</v>
      </c>
      <c r="L49">
        <v>1</v>
      </c>
      <c r="N49" s="1">
        <v>45717</v>
      </c>
      <c r="O49">
        <v>1</v>
      </c>
      <c r="P49">
        <v>1</v>
      </c>
      <c r="Q49">
        <v>1</v>
      </c>
    </row>
    <row r="50" spans="1:17">
      <c r="A50" t="s">
        <v>149</v>
      </c>
      <c r="B50">
        <v>7</v>
      </c>
      <c r="C50">
        <v>7</v>
      </c>
      <c r="D50">
        <v>7</v>
      </c>
      <c r="E50"/>
      <c r="F50">
        <v>47</v>
      </c>
      <c r="G50">
        <v>2</v>
      </c>
      <c r="H50">
        <v>4</v>
      </c>
      <c r="K50">
        <v>89</v>
      </c>
      <c r="L50">
        <v>1</v>
      </c>
      <c r="N50" s="1">
        <v>45722</v>
      </c>
      <c r="O50">
        <v>1</v>
      </c>
      <c r="P50">
        <v>1</v>
      </c>
      <c r="Q50">
        <v>1</v>
      </c>
    </row>
    <row r="51" spans="1:17">
      <c r="A51" t="s">
        <v>209</v>
      </c>
      <c r="B51">
        <v>27</v>
      </c>
      <c r="C51">
        <v>27</v>
      </c>
      <c r="D51">
        <v>27</v>
      </c>
      <c r="E51"/>
      <c r="F51">
        <v>48</v>
      </c>
      <c r="G51">
        <v>1</v>
      </c>
      <c r="H51">
        <v>2</v>
      </c>
      <c r="K51">
        <v>84</v>
      </c>
      <c r="L51">
        <v>1</v>
      </c>
      <c r="N51" s="1">
        <v>45728</v>
      </c>
      <c r="O51">
        <v>1</v>
      </c>
      <c r="P51">
        <v>1</v>
      </c>
      <c r="Q51">
        <v>1</v>
      </c>
    </row>
    <row r="52" spans="1:17">
      <c r="A52" t="s">
        <v>278</v>
      </c>
      <c r="B52">
        <v>50</v>
      </c>
      <c r="C52">
        <v>50</v>
      </c>
      <c r="D52">
        <v>50</v>
      </c>
      <c r="E52"/>
      <c r="F52">
        <v>49</v>
      </c>
      <c r="G52">
        <v>2</v>
      </c>
      <c r="H52">
        <v>0</v>
      </c>
      <c r="K52">
        <v>82</v>
      </c>
      <c r="L52">
        <v>1</v>
      </c>
      <c r="N52" s="1">
        <v>45729</v>
      </c>
      <c r="O52">
        <v>1</v>
      </c>
      <c r="P52">
        <v>1</v>
      </c>
      <c r="Q52">
        <v>1</v>
      </c>
    </row>
    <row r="53" spans="1:17">
      <c r="A53" t="s">
        <v>137</v>
      </c>
      <c r="B53">
        <v>3</v>
      </c>
      <c r="C53">
        <v>3</v>
      </c>
      <c r="D53">
        <v>3</v>
      </c>
      <c r="E53"/>
      <c r="F53">
        <v>50</v>
      </c>
      <c r="G53">
        <v>2</v>
      </c>
      <c r="H53">
        <v>4</v>
      </c>
      <c r="K53">
        <v>72</v>
      </c>
      <c r="L53">
        <v>1</v>
      </c>
      <c r="N53" s="1">
        <v>45736</v>
      </c>
      <c r="O53">
        <v>2</v>
      </c>
      <c r="P53">
        <v>2</v>
      </c>
      <c r="Q53">
        <v>2</v>
      </c>
    </row>
    <row r="54" spans="1:17">
      <c r="A54" t="s">
        <v>336</v>
      </c>
      <c r="B54">
        <v>3775</v>
      </c>
      <c r="C54"/>
      <c r="D54">
        <v>10050</v>
      </c>
      <c r="E54"/>
      <c r="F54" t="s">
        <v>337</v>
      </c>
      <c r="G54">
        <v>120</v>
      </c>
      <c r="H54">
        <v>150</v>
      </c>
      <c r="K54">
        <v>71</v>
      </c>
      <c r="L54">
        <v>1</v>
      </c>
      <c r="N54" s="1">
        <v>45737</v>
      </c>
      <c r="O54">
        <v>1</v>
      </c>
      <c r="P54">
        <v>1</v>
      </c>
      <c r="Q54">
        <v>1</v>
      </c>
    </row>
    <row r="55" spans="1:17">
      <c r="A55" t="s">
        <v>337</v>
      </c>
      <c r="B55">
        <v>5050</v>
      </c>
      <c r="C55">
        <v>1275</v>
      </c>
      <c r="D55">
        <v>11325</v>
      </c>
      <c r="E55"/>
      <c r="K55">
        <v>69</v>
      </c>
      <c r="L55">
        <v>1</v>
      </c>
      <c r="N55" s="1">
        <v>45741</v>
      </c>
      <c r="O55">
        <v>1</v>
      </c>
      <c r="P55">
        <v>1</v>
      </c>
      <c r="Q55">
        <v>1</v>
      </c>
    </row>
    <row r="56" spans="11:17">
      <c r="K56">
        <v>67</v>
      </c>
      <c r="L56">
        <v>1</v>
      </c>
      <c r="N56" s="1">
        <v>45743</v>
      </c>
      <c r="O56">
        <v>1</v>
      </c>
      <c r="P56">
        <v>1</v>
      </c>
      <c r="Q56">
        <v>1</v>
      </c>
    </row>
    <row r="57" spans="11:17">
      <c r="K57">
        <v>65</v>
      </c>
      <c r="L57">
        <v>1</v>
      </c>
      <c r="N57" s="1">
        <v>45747</v>
      </c>
      <c r="O57">
        <v>1</v>
      </c>
      <c r="P57">
        <v>1</v>
      </c>
      <c r="Q57">
        <v>1</v>
      </c>
    </row>
    <row r="58" spans="11:17">
      <c r="K58">
        <v>62</v>
      </c>
      <c r="L58">
        <v>1</v>
      </c>
      <c r="N58" s="1">
        <v>45750</v>
      </c>
      <c r="O58">
        <v>1</v>
      </c>
      <c r="P58">
        <v>1</v>
      </c>
      <c r="Q58">
        <v>1</v>
      </c>
    </row>
    <row r="59" spans="11:17">
      <c r="K59">
        <v>60</v>
      </c>
      <c r="L59">
        <v>1</v>
      </c>
      <c r="N59" s="1">
        <v>45756</v>
      </c>
      <c r="O59">
        <v>1</v>
      </c>
      <c r="P59">
        <v>1</v>
      </c>
      <c r="Q59">
        <v>1</v>
      </c>
    </row>
    <row r="60" spans="11:17">
      <c r="K60">
        <v>58</v>
      </c>
      <c r="L60">
        <v>1</v>
      </c>
      <c r="N60" s="1">
        <v>45758</v>
      </c>
      <c r="O60">
        <v>1</v>
      </c>
      <c r="P60">
        <v>1</v>
      </c>
      <c r="Q60">
        <v>1</v>
      </c>
    </row>
    <row r="61" spans="11:17">
      <c r="K61">
        <v>57</v>
      </c>
      <c r="L61">
        <v>1</v>
      </c>
      <c r="N61" s="1">
        <v>45759</v>
      </c>
      <c r="O61">
        <v>1</v>
      </c>
      <c r="P61">
        <v>1</v>
      </c>
      <c r="Q61">
        <v>1</v>
      </c>
    </row>
    <row r="62" spans="11:17">
      <c r="K62">
        <v>55</v>
      </c>
      <c r="L62">
        <v>1</v>
      </c>
      <c r="N62" s="1">
        <v>45760</v>
      </c>
      <c r="O62">
        <v>1</v>
      </c>
      <c r="P62">
        <v>1</v>
      </c>
      <c r="Q62">
        <v>1</v>
      </c>
    </row>
    <row r="63" spans="11:17">
      <c r="K63">
        <v>52</v>
      </c>
      <c r="L63">
        <v>1</v>
      </c>
      <c r="N63" s="1">
        <v>45761</v>
      </c>
      <c r="O63">
        <v>2</v>
      </c>
      <c r="P63">
        <v>2</v>
      </c>
      <c r="Q63">
        <v>2</v>
      </c>
    </row>
    <row r="64" spans="11:17">
      <c r="K64">
        <v>48</v>
      </c>
      <c r="L64">
        <v>1</v>
      </c>
      <c r="N64" s="1">
        <v>45775</v>
      </c>
      <c r="O64">
        <v>1</v>
      </c>
      <c r="P64">
        <v>1</v>
      </c>
      <c r="Q64">
        <v>1</v>
      </c>
    </row>
    <row r="65" spans="11:17">
      <c r="K65">
        <v>47</v>
      </c>
      <c r="L65">
        <v>1</v>
      </c>
      <c r="N65" s="1">
        <v>45776</v>
      </c>
      <c r="O65">
        <v>1</v>
      </c>
      <c r="P65">
        <v>1</v>
      </c>
      <c r="Q65">
        <v>1</v>
      </c>
    </row>
    <row r="66" spans="11:17">
      <c r="K66">
        <v>38</v>
      </c>
      <c r="L66">
        <v>1</v>
      </c>
      <c r="N66" s="1">
        <v>45779</v>
      </c>
      <c r="O66">
        <v>1</v>
      </c>
      <c r="P66">
        <v>1</v>
      </c>
      <c r="Q66">
        <v>1</v>
      </c>
    </row>
    <row r="67" spans="11:17">
      <c r="K67">
        <v>35</v>
      </c>
      <c r="L67">
        <v>1</v>
      </c>
      <c r="N67" s="1">
        <v>45781</v>
      </c>
      <c r="O67">
        <v>1</v>
      </c>
      <c r="P67">
        <v>1</v>
      </c>
      <c r="Q67">
        <v>1</v>
      </c>
    </row>
    <row r="68" spans="11:17">
      <c r="K68">
        <v>34</v>
      </c>
      <c r="L68">
        <v>1</v>
      </c>
      <c r="N68" s="1">
        <v>45785</v>
      </c>
      <c r="O68">
        <v>1</v>
      </c>
      <c r="P68">
        <v>1</v>
      </c>
      <c r="Q68">
        <v>1</v>
      </c>
    </row>
    <row r="69" spans="11:17">
      <c r="K69">
        <v>30</v>
      </c>
      <c r="L69">
        <v>1</v>
      </c>
      <c r="N69" s="1">
        <v>45787</v>
      </c>
      <c r="O69">
        <v>1</v>
      </c>
      <c r="P69">
        <v>1</v>
      </c>
      <c r="Q69">
        <v>1</v>
      </c>
    </row>
    <row r="70" spans="11:17">
      <c r="K70">
        <v>29</v>
      </c>
      <c r="L70">
        <v>1</v>
      </c>
      <c r="N70" s="1">
        <v>45788</v>
      </c>
      <c r="O70">
        <v>1</v>
      </c>
      <c r="P70">
        <v>1</v>
      </c>
      <c r="Q70">
        <v>1</v>
      </c>
    </row>
    <row r="71" spans="11:17">
      <c r="K71">
        <v>28</v>
      </c>
      <c r="L71">
        <v>1</v>
      </c>
      <c r="N71" s="1">
        <v>45794</v>
      </c>
      <c r="O71">
        <v>1</v>
      </c>
      <c r="P71">
        <v>1</v>
      </c>
      <c r="Q71">
        <v>1</v>
      </c>
    </row>
    <row r="72" spans="11:17">
      <c r="K72">
        <v>27</v>
      </c>
      <c r="L72">
        <v>1</v>
      </c>
      <c r="N72" s="1">
        <v>45801</v>
      </c>
      <c r="O72">
        <v>1</v>
      </c>
      <c r="P72">
        <v>1</v>
      </c>
      <c r="Q72">
        <v>1</v>
      </c>
    </row>
    <row r="73" spans="11:17">
      <c r="K73">
        <v>26</v>
      </c>
      <c r="L73">
        <v>1</v>
      </c>
      <c r="N73" s="1">
        <v>45804</v>
      </c>
      <c r="O73">
        <v>2</v>
      </c>
      <c r="P73">
        <v>2</v>
      </c>
      <c r="Q73">
        <v>2</v>
      </c>
    </row>
    <row r="74" spans="11:17">
      <c r="K74">
        <v>25</v>
      </c>
      <c r="L74">
        <v>1</v>
      </c>
      <c r="N74" s="1">
        <v>45812</v>
      </c>
      <c r="O74">
        <v>1</v>
      </c>
      <c r="P74">
        <v>1</v>
      </c>
      <c r="Q74">
        <v>1</v>
      </c>
    </row>
    <row r="75" spans="11:17">
      <c r="K75">
        <v>24</v>
      </c>
      <c r="L75">
        <v>1</v>
      </c>
      <c r="N75" s="1">
        <v>45813</v>
      </c>
      <c r="O75">
        <v>1</v>
      </c>
      <c r="P75">
        <v>1</v>
      </c>
      <c r="Q75">
        <v>1</v>
      </c>
    </row>
    <row r="76" spans="11:17">
      <c r="K76">
        <v>23</v>
      </c>
      <c r="L76">
        <v>1</v>
      </c>
      <c r="N76" s="1">
        <v>45815</v>
      </c>
      <c r="O76">
        <v>1</v>
      </c>
      <c r="P76">
        <v>1</v>
      </c>
      <c r="Q76">
        <v>1</v>
      </c>
    </row>
    <row r="77" spans="11:17">
      <c r="K77">
        <v>22</v>
      </c>
      <c r="L77">
        <v>1</v>
      </c>
      <c r="N77" s="1">
        <v>45822</v>
      </c>
      <c r="O77">
        <v>1</v>
      </c>
      <c r="P77">
        <v>1</v>
      </c>
      <c r="Q77">
        <v>1</v>
      </c>
    </row>
    <row r="78" spans="11:17">
      <c r="K78">
        <v>12</v>
      </c>
      <c r="L78">
        <v>1</v>
      </c>
      <c r="N78" s="1">
        <v>45833</v>
      </c>
      <c r="O78">
        <v>1</v>
      </c>
      <c r="P78">
        <v>1</v>
      </c>
      <c r="Q78">
        <v>1</v>
      </c>
    </row>
    <row r="79" spans="11:17">
      <c r="K79">
        <v>11</v>
      </c>
      <c r="L79">
        <v>1</v>
      </c>
      <c r="N79" s="1">
        <v>45835</v>
      </c>
      <c r="O79">
        <v>1</v>
      </c>
      <c r="P79">
        <v>1</v>
      </c>
      <c r="Q79">
        <v>1</v>
      </c>
    </row>
    <row r="80" spans="11:17">
      <c r="K80">
        <v>5</v>
      </c>
      <c r="L80">
        <v>1</v>
      </c>
      <c r="N80" s="1">
        <v>45841</v>
      </c>
      <c r="O80">
        <v>1</v>
      </c>
      <c r="P80">
        <v>1</v>
      </c>
      <c r="Q80">
        <v>1</v>
      </c>
    </row>
    <row r="81" spans="11:17">
      <c r="K81">
        <v>3</v>
      </c>
      <c r="L81">
        <v>1</v>
      </c>
      <c r="N81" s="1">
        <v>45842</v>
      </c>
      <c r="O81">
        <v>1</v>
      </c>
      <c r="P81">
        <v>1</v>
      </c>
      <c r="Q81">
        <v>1</v>
      </c>
    </row>
    <row r="82" spans="11:17">
      <c r="K82" t="s">
        <v>337</v>
      </c>
      <c r="L82">
        <v>150</v>
      </c>
      <c r="N82" s="1">
        <v>45847</v>
      </c>
      <c r="O82">
        <v>1</v>
      </c>
      <c r="P82">
        <v>1</v>
      </c>
      <c r="Q82">
        <v>1</v>
      </c>
    </row>
    <row r="83" spans="14:17">
      <c r="N83" s="1">
        <v>45850</v>
      </c>
      <c r="O83">
        <v>1</v>
      </c>
      <c r="P83">
        <v>1</v>
      </c>
      <c r="Q83">
        <v>1</v>
      </c>
    </row>
    <row r="84" spans="14:17">
      <c r="N84" s="1">
        <v>45875</v>
      </c>
      <c r="O84">
        <v>1</v>
      </c>
      <c r="P84">
        <v>1</v>
      </c>
      <c r="Q84">
        <v>1</v>
      </c>
    </row>
    <row r="85" spans="14:17">
      <c r="N85" s="1">
        <v>45880</v>
      </c>
      <c r="O85">
        <v>1</v>
      </c>
      <c r="P85">
        <v>1</v>
      </c>
      <c r="Q85">
        <v>1</v>
      </c>
    </row>
    <row r="86" spans="14:17">
      <c r="N86" s="1">
        <v>45887</v>
      </c>
      <c r="O86">
        <v>1</v>
      </c>
      <c r="P86">
        <v>1</v>
      </c>
      <c r="Q86">
        <v>1</v>
      </c>
    </row>
    <row r="87" spans="14:17">
      <c r="N87" s="1">
        <v>45888</v>
      </c>
      <c r="O87">
        <v>1</v>
      </c>
      <c r="P87">
        <v>1</v>
      </c>
      <c r="Q87">
        <v>1</v>
      </c>
    </row>
    <row r="88" spans="14:17">
      <c r="N88" s="1">
        <v>45891</v>
      </c>
      <c r="O88">
        <v>2</v>
      </c>
      <c r="P88">
        <v>2</v>
      </c>
      <c r="Q88">
        <v>2</v>
      </c>
    </row>
    <row r="89" spans="14:17">
      <c r="N89" s="1">
        <v>45904</v>
      </c>
      <c r="O89">
        <v>1</v>
      </c>
      <c r="P89">
        <v>1</v>
      </c>
      <c r="Q89">
        <v>1</v>
      </c>
    </row>
    <row r="90" spans="14:17">
      <c r="N90" s="1">
        <v>45905</v>
      </c>
      <c r="O90">
        <v>1</v>
      </c>
      <c r="P90">
        <v>1</v>
      </c>
      <c r="Q90">
        <v>1</v>
      </c>
    </row>
    <row r="91" spans="14:17">
      <c r="N91" s="1">
        <v>45910</v>
      </c>
      <c r="O91">
        <v>1</v>
      </c>
      <c r="P91">
        <v>1</v>
      </c>
      <c r="Q91">
        <v>1</v>
      </c>
    </row>
    <row r="92" spans="14:17">
      <c r="N92" t="s">
        <v>336</v>
      </c>
      <c r="O92">
        <v>50</v>
      </c>
      <c r="Q92">
        <v>20</v>
      </c>
    </row>
    <row r="93" spans="14:17">
      <c r="N93" t="s">
        <v>337</v>
      </c>
      <c r="O93">
        <v>150</v>
      </c>
      <c r="P93">
        <v>100</v>
      </c>
      <c r="Q93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Comments</vt:lpstr>
      <vt:lpstr>Users</vt:lpstr>
      <vt:lpstr>Friendships</vt:lpstr>
      <vt:lpstr>Likes</vt:lpstr>
      <vt:lpstr>Posts</vt:lpstr>
      <vt:lpstr>pvt_dashboard</vt:lpstr>
      <vt:lpstr>cleaned_data_formulas_functions</vt:lpstr>
      <vt:lpstr>pivot_tables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krisskonda</cp:lastModifiedBy>
  <dcterms:created xsi:type="dcterms:W3CDTF">2025-09-17T04:37:00Z</dcterms:created>
  <dcterms:modified xsi:type="dcterms:W3CDTF">2025-09-21T20:42:31Z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E0960B878605473C8B6F45883C7B1CD9_13</vt:lpwstr>
  </property>
  <property fmtid="{D5CDD505-2E9C-101B-9397-08002B2CF9AE}" pid="3" name="KSOProductBuildVer">
    <vt:lpwstr>1033-12.2.0.22549</vt:lpwstr>
  </property>
</Properties>
</file>