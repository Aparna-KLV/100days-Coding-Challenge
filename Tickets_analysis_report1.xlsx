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esktop\coding challenge\Day5 Coding Challenge\"/>
    </mc:Choice>
  </mc:AlternateContent>
  <xr:revisionPtr revIDLastSave="0" documentId="13_ncr:1_{1D911FAB-B51D-4FAC-A987-27DD0F05701F}" xr6:coauthVersionLast="47" xr6:coauthVersionMax="47" xr10:uidLastSave="{00000000-0000-0000-0000-000000000000}"/>
  <bookViews>
    <workbookView xWindow="-108" yWindow="-108" windowWidth="23256" windowHeight="12456" xr2:uid="{6E2E56BF-B0DD-4C8D-AD39-6D13FA5A7185}"/>
  </bookViews>
  <sheets>
    <sheet name="ticket_volume" sheetId="1" r:id="rId1"/>
    <sheet name="resolution_time" sheetId="2" r:id="rId2"/>
    <sheet name="root_cause" sheetId="5" r:id="rId3"/>
    <sheet name="analyst_performance" sheetId="4" r:id="rId4"/>
    <sheet name="dashboard" sheetId="3" r:id="rId5"/>
    <sheet name="recommendations" sheetId="6" r:id="rId6"/>
  </sheets>
  <definedNames>
    <definedName name="_xlcn.WorksheetConnection_Tickets_analysis_report1.xlsxTable11" hidden="1">Table1[]</definedName>
  </definedNames>
  <calcPr calcId="191029"/>
  <pivotCaches>
    <pivotCache cacheId="152" r:id="rId7"/>
    <pivotCache cacheId="15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Tickets_analysis_report1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K2" i="1"/>
  <c r="L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80F291-FADF-4D52-AB9F-0DE6C10D671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C400112-5565-460E-AD54-0364251B61C7}" name="WorksheetConnection_Tickets_analysis_report1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ickets_analysis_report1.xlsxTable11"/>
        </x15:connection>
      </ext>
    </extLst>
  </connection>
</connections>
</file>

<file path=xl/sharedStrings.xml><?xml version="1.0" encoding="utf-8"?>
<sst xmlns="http://schemas.openxmlformats.org/spreadsheetml/2006/main" count="819" uniqueCount="350">
  <si>
    <t>ticket_id</t>
  </si>
  <si>
    <t>submission_date</t>
  </si>
  <si>
    <t>resolution_date</t>
  </si>
  <si>
    <t>category</t>
  </si>
  <si>
    <t>assigned_analyst</t>
  </si>
  <si>
    <t>description</t>
  </si>
  <si>
    <t>priority</t>
  </si>
  <si>
    <t>TICKET-1000</t>
  </si>
  <si>
    <t>Other</t>
  </si>
  <si>
    <t>Toni Wiley</t>
  </si>
  <si>
    <t>Dream part subject until full. Brother century suddenly above. Six eight benefit animal move best.</t>
  </si>
  <si>
    <t>High</t>
  </si>
  <si>
    <t>TICKET-1001</t>
  </si>
  <si>
    <t>Software</t>
  </si>
  <si>
    <t>Tanya Jones</t>
  </si>
  <si>
    <t>Application X is crashing every time I open it. Lead how phone also score player later blue.</t>
  </si>
  <si>
    <t>Medium</t>
  </si>
  <si>
    <t>TICKET-1002</t>
  </si>
  <si>
    <t>Sheila Ball</t>
  </si>
  <si>
    <t>Black attack cold would page. Reality she war a chance. Physical hour Mr item red agreement for.</t>
  </si>
  <si>
    <t>TICKET-1003</t>
  </si>
  <si>
    <t>Hardware</t>
  </si>
  <si>
    <t>Cynthia Rich</t>
  </si>
  <si>
    <t>My laptop's keyboard isn't working properly, some keys are stuck. Tree culture above effort more national whether.</t>
  </si>
  <si>
    <t>TICKET-1004</t>
  </si>
  <si>
    <t>Janice Burns</t>
  </si>
  <si>
    <t>Application X is crashing every time I open it. Order wrong fight foreign bad house pick.</t>
  </si>
  <si>
    <t>TICKET-1005</t>
  </si>
  <si>
    <t>Application X is crashing every time I open it. Sport should network realize relate very voice.</t>
  </si>
  <si>
    <t>Low</t>
  </si>
  <si>
    <t>TICKET-1006</t>
  </si>
  <si>
    <t>Access</t>
  </si>
  <si>
    <t>Autumn Ryan</t>
  </si>
  <si>
    <t>I'm locked out of my account and can't reset my password. If rather year suffer wrong.</t>
  </si>
  <si>
    <t>TICKET-1007</t>
  </si>
  <si>
    <t>Amanda White</t>
  </si>
  <si>
    <t>Application X is crashing every time I open it. Here bill leg region training. Grow new may.</t>
  </si>
  <si>
    <t>TICKET-1008</t>
  </si>
  <si>
    <t>My laptop's keyboard isn't working properly, some keys are stuck. Common maintain theory involve ok detail.</t>
  </si>
  <si>
    <t>TICKET-1009</t>
  </si>
  <si>
    <t>Application X is crashing every time I open it. Responsibility again recently traditional word.</t>
  </si>
  <si>
    <t>TICKET-1010</t>
  </si>
  <si>
    <t>Adam Stone</t>
  </si>
  <si>
    <t>Application X is crashing every time I open it. Structure this woman born.</t>
  </si>
  <si>
    <t>TICKET-1011</t>
  </si>
  <si>
    <t>Network</t>
  </si>
  <si>
    <t>Natasha Harris</t>
  </si>
  <si>
    <t>Can't connect to the Wi-Fi. It's showing 'No internet access'. Maintain without college strong few not week.</t>
  </si>
  <si>
    <t>TICKET-1012</t>
  </si>
  <si>
    <t>Can't connect to the Wi-Fi. It's showing 'No internet access'. Official human task door century energy Mr.</t>
  </si>
  <si>
    <t>TICKET-1013</t>
  </si>
  <si>
    <t>Application X is crashing every time I open it. Spring operation performance glass choice kind.</t>
  </si>
  <si>
    <t>TICKET-1014</t>
  </si>
  <si>
    <t>Application X is crashing every time I open it. Summer yard maintain fire ask eight.</t>
  </si>
  <si>
    <t>TICKET-1015</t>
  </si>
  <si>
    <t>Marvin West</t>
  </si>
  <si>
    <t>Application X is crashing every time I open it. Least check between event. Can brother two form.</t>
  </si>
  <si>
    <t>TICKET-1016</t>
  </si>
  <si>
    <t>Application X is crashing every time I open it. Resource in affect charge customer accept dream.</t>
  </si>
  <si>
    <t>TICKET-1017</t>
  </si>
  <si>
    <t>Security</t>
  </si>
  <si>
    <t>Thought national word picture each deep.</t>
  </si>
  <si>
    <t>TICKET-1018</t>
  </si>
  <si>
    <t>Can't connect to the Wi-Fi. It's showing 'No internet access'. Card series research else cup though artist.</t>
  </si>
  <si>
    <t>TICKET-1019</t>
  </si>
  <si>
    <t>My laptop's keyboard isn't working properly, some keys are stuck. Young up grow after offer east region would.</t>
  </si>
  <si>
    <t>TICKET-1020</t>
  </si>
  <si>
    <t>Application X is crashing every time I open it. Nice then management.</t>
  </si>
  <si>
    <t>TICKET-1021</t>
  </si>
  <si>
    <t>Application X is crashing every time I open it. Water act involve follow hot.</t>
  </si>
  <si>
    <t>TICKET-1022</t>
  </si>
  <si>
    <t>Application X is crashing every time I open it. Another such apply table let.</t>
  </si>
  <si>
    <t>TICKET-1023</t>
  </si>
  <si>
    <t>Application X is crashing every time I open it. Senior per draw day mention sea quickly.</t>
  </si>
  <si>
    <t>TICKET-1024</t>
  </si>
  <si>
    <t>Can't connect to the Wi-Fi. It's showing 'No internet access'. Race Republican expect east might collection.</t>
  </si>
  <si>
    <t>TICKET-1025</t>
  </si>
  <si>
    <t>Application X is crashing every time I open it. Total maintain service writer.</t>
  </si>
  <si>
    <t>TICKET-1026</t>
  </si>
  <si>
    <t>Can't connect to the Wi-Fi. It's showing 'No internet access'. Individual herself decide generation.</t>
  </si>
  <si>
    <t>TICKET-1027</t>
  </si>
  <si>
    <t>Billing</t>
  </si>
  <si>
    <t>Yourself floor foot character choose. Brother prepare but film key name.</t>
  </si>
  <si>
    <t>TICKET-1028</t>
  </si>
  <si>
    <t>Successful radio play network yet. Fill director direction ready white.</t>
  </si>
  <si>
    <t>TICKET-1029</t>
  </si>
  <si>
    <t>Application X is crashing every time I open it. Southern beat general first much hotel agency.</t>
  </si>
  <si>
    <t>TICKET-1030</t>
  </si>
  <si>
    <t>Can't connect to the Wi-Fi. It's showing 'No internet access'. Cup government by life reduce each customer.</t>
  </si>
  <si>
    <t>TICKET-1031</t>
  </si>
  <si>
    <t>Application X is crashing every time I open it. Market growth film.</t>
  </si>
  <si>
    <t>TICKET-1032</t>
  </si>
  <si>
    <t>Can't connect to the Wi-Fi. It's showing 'No internet access'. Could north state feel others participant.</t>
  </si>
  <si>
    <t>TICKET-1033</t>
  </si>
  <si>
    <t>Follow chair add finally these plan staff. Across shoulder school free.</t>
  </si>
  <si>
    <t>TICKET-1034</t>
  </si>
  <si>
    <t>Application X is crashing every time I open it. Bag half join treat water by affect.</t>
  </si>
  <si>
    <t>TICKET-1035</t>
  </si>
  <si>
    <t>My laptop's keyboard isn't working properly, some keys are stuck. Science bad news pressure anything probably save.</t>
  </si>
  <si>
    <t>TICKET-1036</t>
  </si>
  <si>
    <t>Application X is crashing every time I open it. Fund project find law identify close worker.</t>
  </si>
  <si>
    <t>TICKET-1037</t>
  </si>
  <si>
    <t>Rate play media air. Trade thank hundred choice reduce remember possible us.</t>
  </si>
  <si>
    <t>TICKET-1038</t>
  </si>
  <si>
    <t>Application X is crashing every time I open it. Effort avoid door shoulder cut.</t>
  </si>
  <si>
    <t>TICKET-1039</t>
  </si>
  <si>
    <t>I'm locked out of my account and can't reset my password. Point fine stop radio chair tree career scene.</t>
  </si>
  <si>
    <t>TICKET-1040</t>
  </si>
  <si>
    <t>Can't connect to the Wi-Fi. It's showing 'No internet access'. Simple practice operation move put.</t>
  </si>
  <si>
    <t>TICKET-1041</t>
  </si>
  <si>
    <t>My laptop's keyboard isn't working properly, some keys are stuck. Firm discuss audience say amount.</t>
  </si>
  <si>
    <t>TICKET-1042</t>
  </si>
  <si>
    <t>Physical business information.
Activity else house another. Still protect admit answer.</t>
  </si>
  <si>
    <t>TICKET-1043</t>
  </si>
  <si>
    <t>Application X is crashing every time I open it. Anything despite not.</t>
  </si>
  <si>
    <t>Critical</t>
  </si>
  <si>
    <t>TICKET-1044</t>
  </si>
  <si>
    <t>My laptop's keyboard isn't working properly, some keys are stuck. Film answer tax different carry represent.</t>
  </si>
  <si>
    <t>TICKET-1045</t>
  </si>
  <si>
    <t>Application X is crashing every time I open it. American computer let go event.</t>
  </si>
  <si>
    <t>TICKET-1046</t>
  </si>
  <si>
    <t>Can't connect to the Wi-Fi. It's showing 'No internet access'. Build oil wait community less happen.</t>
  </si>
  <si>
    <t>TICKET-1047</t>
  </si>
  <si>
    <t>I'm locked out of my account and can't reset my password. Decide stuff agree national politics current son.</t>
  </si>
  <si>
    <t>TICKET-1048</t>
  </si>
  <si>
    <t>Can't connect to the Wi-Fi. It's showing 'No internet access'. Phone interview worker could.</t>
  </si>
  <si>
    <t>TICKET-1049</t>
  </si>
  <si>
    <t>Can't connect to the Wi-Fi. It's showing 'No internet access'. Together life least mission.</t>
  </si>
  <si>
    <t>TICKET-1050</t>
  </si>
  <si>
    <t>If forget newspaper behavior note put. Almost affect entire. Trial set capital real.</t>
  </si>
  <si>
    <t>TICKET-1051</t>
  </si>
  <si>
    <t>Application X is crashing every time I open it. My sound short.</t>
  </si>
  <si>
    <t>TICKET-1052</t>
  </si>
  <si>
    <t>Application X is crashing every time I open it. Where culture site value set.</t>
  </si>
  <si>
    <t>TICKET-1053</t>
  </si>
  <si>
    <t>Application X is crashing every time I open it. Go claim billion small experience old.</t>
  </si>
  <si>
    <t>TICKET-1054</t>
  </si>
  <si>
    <t>Can't connect to the Wi-Fi. It's showing 'No internet access'. Option name including.</t>
  </si>
  <si>
    <t>TICKET-1055</t>
  </si>
  <si>
    <t>I'm locked out of my account and can't reset my password. Idea enter expert decision something.</t>
  </si>
  <si>
    <t>TICKET-1056</t>
  </si>
  <si>
    <t>Through culture similar finally. Oil world money about fine street small.</t>
  </si>
  <si>
    <t>TICKET-1057</t>
  </si>
  <si>
    <t>Weight go sort sign law response since. Sister other actually Mrs fight everything get.</t>
  </si>
  <si>
    <t>TICKET-1058</t>
  </si>
  <si>
    <t>Particular ask company nearly exist exactly friend.</t>
  </si>
  <si>
    <t>TICKET-1059</t>
  </si>
  <si>
    <t>Application X is crashing every time I open it. Skin subject purpose baby training.</t>
  </si>
  <si>
    <t>TICKET-1060</t>
  </si>
  <si>
    <t>My laptop's keyboard isn't working properly, some keys are stuck. Than none office improve.</t>
  </si>
  <si>
    <t>TICKET-1061</t>
  </si>
  <si>
    <t>Application X is crashing every time I open it. With because article scene father black.</t>
  </si>
  <si>
    <t>TICKET-1062</t>
  </si>
  <si>
    <t>Application X is crashing every time I open it. Food pass energy fund need read anything.</t>
  </si>
  <si>
    <t>TICKET-1063</t>
  </si>
  <si>
    <t>I'm locked out of my account and can't reset my password. Agreement news significant cultural agree.</t>
  </si>
  <si>
    <t>TICKET-1064</t>
  </si>
  <si>
    <t>I'm locked out of my account and can't reset my password. Especially under always tend teacher build.</t>
  </si>
  <si>
    <t>TICKET-1065</t>
  </si>
  <si>
    <t>Can't connect to the Wi-Fi. It's showing 'No internet access'. Child as debate economy.</t>
  </si>
  <si>
    <t>TICKET-1066</t>
  </si>
  <si>
    <t>My laptop's keyboard isn't working properly, some keys are stuck. Someone poor mission fill free.</t>
  </si>
  <si>
    <t>TICKET-1067</t>
  </si>
  <si>
    <t>Can't connect to the Wi-Fi. It's showing 'No internet access'. Represent safe scene wall dog.</t>
  </si>
  <si>
    <t>TICKET-1068</t>
  </si>
  <si>
    <t>Application X is crashing every time I open it. Claim success those baby.</t>
  </si>
  <si>
    <t>TICKET-1069</t>
  </si>
  <si>
    <t>Application X is crashing every time I open it. Term lot their. Dark itself deal race Democrat.</t>
  </si>
  <si>
    <t>TICKET-1070</t>
  </si>
  <si>
    <t>My laptop's keyboard isn't working properly, some keys are stuck. Bad past glass strategy. Above skin station.</t>
  </si>
  <si>
    <t>TICKET-1071</t>
  </si>
  <si>
    <t>Application X is crashing every time I open it. Tv control generation away public remain.</t>
  </si>
  <si>
    <t>TICKET-1072</t>
  </si>
  <si>
    <t>Can't connect to the Wi-Fi. It's showing 'No internet access'. Alone skill foot benefit.</t>
  </si>
  <si>
    <t>TICKET-1073</t>
  </si>
  <si>
    <t>Media respond them indicate. Up movie television stop. Garden ten city already close.</t>
  </si>
  <si>
    <t>TICKET-1074</t>
  </si>
  <si>
    <t>Lay support mouth control understand could. Husband for evening upon involve.</t>
  </si>
  <si>
    <t>TICKET-1075</t>
  </si>
  <si>
    <t>Company month civil season include. Onto life for both little.</t>
  </si>
  <si>
    <t>TICKET-1076</t>
  </si>
  <si>
    <t>Application X is crashing every time I open it. Candidate push mind exactly feel.</t>
  </si>
  <si>
    <t>TICKET-1077</t>
  </si>
  <si>
    <t>Writer city suffer within important recently difference. Wait only relationship free.</t>
  </si>
  <si>
    <t>TICKET-1078</t>
  </si>
  <si>
    <t>Application X is crashing every time I open it. Form customer bill interest remember which.</t>
  </si>
  <si>
    <t>TICKET-1079</t>
  </si>
  <si>
    <t>Can't connect to the Wi-Fi. It's showing 'No internet access'. Agree begin guess ask choice low themselves born.</t>
  </si>
  <si>
    <t>TICKET-1080</t>
  </si>
  <si>
    <t>Application X is crashing every time I open it. Center worry nor whole.</t>
  </si>
  <si>
    <t>TICKET-1081</t>
  </si>
  <si>
    <t>I'm locked out of my account and can't reset my password. Miss son responsibility hour.</t>
  </si>
  <si>
    <t>TICKET-1082</t>
  </si>
  <si>
    <t>Application X is crashing every time I open it. Develop course foreign no either.</t>
  </si>
  <si>
    <t>TICKET-1083</t>
  </si>
  <si>
    <t>Public husband return country service very. Be exactly time firm yard price bad.</t>
  </si>
  <si>
    <t>TICKET-1084</t>
  </si>
  <si>
    <t>My laptop's keyboard isn't working properly, some keys are stuck. Perform author more owner girl message.</t>
  </si>
  <si>
    <t>TICKET-1085</t>
  </si>
  <si>
    <t>I'm locked out of my account and can't reset my password. Church stop environment.</t>
  </si>
  <si>
    <t>TICKET-1086</t>
  </si>
  <si>
    <t>Application X is crashing every time I open it. Everyone body modern feeling shake loss.</t>
  </si>
  <si>
    <t>TICKET-1087</t>
  </si>
  <si>
    <t>My laptop's keyboard isn't working properly, some keys are stuck. Whole material thus despite firm more.</t>
  </si>
  <si>
    <t>TICKET-1088</t>
  </si>
  <si>
    <t>Application X is crashing every time I open it. Until statement century seat vote never.</t>
  </si>
  <si>
    <t>TICKET-1089</t>
  </si>
  <si>
    <t>Application X is crashing every time I open it. Big season the.</t>
  </si>
  <si>
    <t>TICKET-1090</t>
  </si>
  <si>
    <t>Application X is crashing every time I open it. Usually career attention realize.</t>
  </si>
  <si>
    <t>TICKET-1091</t>
  </si>
  <si>
    <t>Application X is crashing every time I open it. Firm tonight statement feel Mrs music.</t>
  </si>
  <si>
    <t>TICKET-1092</t>
  </si>
  <si>
    <t>Can't connect to the Wi-Fi. It's showing 'No internet access'. Life change act. Through imagine again whole.</t>
  </si>
  <si>
    <t>TICKET-1093</t>
  </si>
  <si>
    <t>Including development attack wide. Concern his environment attack program rest team.</t>
  </si>
  <si>
    <t>TICKET-1094</t>
  </si>
  <si>
    <t>I'm locked out of my account and can't reset my password. Another collection another many.</t>
  </si>
  <si>
    <t>TICKET-1095</t>
  </si>
  <si>
    <t>Compare or at environmental. Six what them fall. Husband certain institution phone resource blood.</t>
  </si>
  <si>
    <t>TICKET-1096</t>
  </si>
  <si>
    <t>I'm locked out of my account and can't reset my password. Medical let door front. Law end always.</t>
  </si>
  <si>
    <t>TICKET-1097</t>
  </si>
  <si>
    <t>My laptop's keyboard isn't working properly, some keys are stuck. Rich fire power city. Water career next relate.</t>
  </si>
  <si>
    <t>TICKET-1098</t>
  </si>
  <si>
    <t>Application X is crashing every time I open it. Result happy song want finish stuff.</t>
  </si>
  <si>
    <t>TICKET-1099</t>
  </si>
  <si>
    <t>My laptop's keyboard isn't working properly, some keys are stuck. Themselves big matter happy small.</t>
  </si>
  <si>
    <t>TICKET-1100</t>
  </si>
  <si>
    <t>Application X is crashing every time I open it. Agent will respond help.</t>
  </si>
  <si>
    <t>TICKET-1101</t>
  </si>
  <si>
    <t>Application X is crashing every time I open it. Short commercial everybody difficult change.</t>
  </si>
  <si>
    <t>TICKET-1102</t>
  </si>
  <si>
    <t>Any today within none hot again green. Remember attack event view father.</t>
  </si>
  <si>
    <t>TICKET-1103</t>
  </si>
  <si>
    <t>Application X is crashing every time I open it. Represent senior his finish include nothing.</t>
  </si>
  <si>
    <t>TICKET-1104</t>
  </si>
  <si>
    <t>She certain boy build. Test bag country president environment.</t>
  </si>
  <si>
    <t>TICKET-1105</t>
  </si>
  <si>
    <t>Can't connect to the Wi-Fi. It's showing 'No internet access'. Hair job save son.</t>
  </si>
  <si>
    <t>TICKET-1106</t>
  </si>
  <si>
    <t>Growth middle establish public.</t>
  </si>
  <si>
    <t>TICKET-1107</t>
  </si>
  <si>
    <t>My laptop's keyboard isn't working properly, some keys are stuck. Produce require line letter listen often.</t>
  </si>
  <si>
    <t>TICKET-1108</t>
  </si>
  <si>
    <t>My laptop's keyboard isn't working properly, some keys are stuck. At bag continue.</t>
  </si>
  <si>
    <t>TICKET-1109</t>
  </si>
  <si>
    <t>Application X is crashing every time I open it. Without pass book tend.</t>
  </si>
  <si>
    <t>TICKET-1110</t>
  </si>
  <si>
    <t>I'm locked out of my account and can't reset my password. Right where add.</t>
  </si>
  <si>
    <t>TICKET-1111</t>
  </si>
  <si>
    <t>Application X is crashing every time I open it. Argue team senior low training.</t>
  </si>
  <si>
    <t>TICKET-1112</t>
  </si>
  <si>
    <t>Plant attack should. Drive international today. Pretty statement her upon nation.</t>
  </si>
  <si>
    <t>TICKET-1113</t>
  </si>
  <si>
    <t>My laptop's keyboard isn't working properly, some keys are stuck. Chance place build body population.</t>
  </si>
  <si>
    <t>TICKET-1114</t>
  </si>
  <si>
    <t>Something million activity. Interview under cover career under. Can address show public.</t>
  </si>
  <si>
    <t>TICKET-1115</t>
  </si>
  <si>
    <t>I'm locked out of my account and can't reset my password. Receive nature option oil read trouble.</t>
  </si>
  <si>
    <t>TICKET-1116</t>
  </si>
  <si>
    <t>Application X is crashing every time I open it. Toward ago director condition food share meet.</t>
  </si>
  <si>
    <t>TICKET-1117</t>
  </si>
  <si>
    <t>I'm locked out of my account and can't reset my password. For we when drive. Start identify now throw.</t>
  </si>
  <si>
    <t>TICKET-1118</t>
  </si>
  <si>
    <t>Even focus animal civil quality lay skill. Need maybe former return.</t>
  </si>
  <si>
    <t>TICKET-1119</t>
  </si>
  <si>
    <t>My laptop's keyboard isn't working properly, some keys are stuck. Cup money work certainly color.</t>
  </si>
  <si>
    <t>TICKET-1120</t>
  </si>
  <si>
    <t>Clear late win beat. Those arm say year him science door.</t>
  </si>
  <si>
    <t>TICKET-1121</t>
  </si>
  <si>
    <t>I'm locked out of my account and can't reset my password. Purpose almost nature create authority company.</t>
  </si>
  <si>
    <t>TICKET-1122</t>
  </si>
  <si>
    <t>Application X is crashing every time I open it. Garden better chance impact where how member.</t>
  </si>
  <si>
    <t>TICKET-1123</t>
  </si>
  <si>
    <t>Can't connect to the Wi-Fi. It's showing 'No internet access'. Bag without else red. Able year decision others.</t>
  </si>
  <si>
    <t>TICKET-1124</t>
  </si>
  <si>
    <t>Police machine star. Computer lead control across blue eye force. Parent set professor sit couple.</t>
  </si>
  <si>
    <t>TICKET-1125</t>
  </si>
  <si>
    <t>Group resource dinner knowledge scientist Mr. Police simply enter training too.</t>
  </si>
  <si>
    <t>TICKET-1126</t>
  </si>
  <si>
    <t>My laptop's keyboard isn't working properly, some keys are stuck. Go wear understand relate.</t>
  </si>
  <si>
    <t>TICKET-1127</t>
  </si>
  <si>
    <t>Application X is crashing every time I open it. Gas mother rate wind fight success medical.</t>
  </si>
  <si>
    <t>TICKET-1128</t>
  </si>
  <si>
    <t>Can't connect to the Wi-Fi. It's showing 'No internet access'. These entire million eat play sit.</t>
  </si>
  <si>
    <t>TICKET-1129</t>
  </si>
  <si>
    <t>Draw once season talk forward. Decision partner north realize finish one question.</t>
  </si>
  <si>
    <t>TICKET-1130</t>
  </si>
  <si>
    <t>Catch travel form bar pretty himself team. Light suffer evidence land ok may guy.</t>
  </si>
  <si>
    <t>TICKET-1131</t>
  </si>
  <si>
    <t>Act believe heavy watch best game part. Too language mean. Cut age personal resource.</t>
  </si>
  <si>
    <t>TICKET-1132</t>
  </si>
  <si>
    <t>Year name message voice data. Protect word up today. Break drop already life.</t>
  </si>
  <si>
    <t>TICKET-1133</t>
  </si>
  <si>
    <t>I'm locked out of my account and can't reset my password. Maintain tree story research hair why.</t>
  </si>
  <si>
    <t>TICKET-1134</t>
  </si>
  <si>
    <t>Memory process group arm attack indicate mother. View three prepare by.</t>
  </si>
  <si>
    <t>TICKET-1135</t>
  </si>
  <si>
    <t>Foreign sign be money cup raise keep. Right scene market.</t>
  </si>
  <si>
    <t>TICKET-1136</t>
  </si>
  <si>
    <t>My laptop's keyboard isn't working properly, some keys are stuck. Certain six among before.</t>
  </si>
  <si>
    <t>TICKET-1137</t>
  </si>
  <si>
    <t>My laptop's keyboard isn't working properly, some keys are stuck. Ago his against point garden drug.</t>
  </si>
  <si>
    <t>TICKET-1138</t>
  </si>
  <si>
    <t>Application X is crashing every time I open it. Any state food citizen.</t>
  </si>
  <si>
    <t>TICKET-1139</t>
  </si>
  <si>
    <t>Can't connect to the Wi-Fi. It's showing 'No internet access'. He particularly begin save area finally word.</t>
  </si>
  <si>
    <t>TICKET-1140</t>
  </si>
  <si>
    <t>My laptop's keyboard isn't working properly, some keys are stuck. Serious simply mind cost movie actually.</t>
  </si>
  <si>
    <t>TICKET-1141</t>
  </si>
  <si>
    <t>My laptop's keyboard isn't working properly, some keys are stuck. Social approach mother white.</t>
  </si>
  <si>
    <t>TICKET-1142</t>
  </si>
  <si>
    <t>Can't connect to the Wi-Fi. It's showing 'No internet access'. Enter room up sound nature.</t>
  </si>
  <si>
    <t>TICKET-1143</t>
  </si>
  <si>
    <t>My laptop's keyboard isn't working properly, some keys are stuck. Effort to since question.</t>
  </si>
  <si>
    <t>TICKET-1144</t>
  </si>
  <si>
    <t>Application X is crashing every time I open it. These drive president building.</t>
  </si>
  <si>
    <t>TICKET-1145</t>
  </si>
  <si>
    <t>Suddenly effort she without without.</t>
  </si>
  <si>
    <t>TICKET-1146</t>
  </si>
  <si>
    <t>Can't connect to the Wi-Fi. It's showing 'No internet access'. Should that nation can difficult nice.</t>
  </si>
  <si>
    <t>TICKET-1147</t>
  </si>
  <si>
    <t>Look scene real owner agent whose specific. Along they yourself character year or behind.</t>
  </si>
  <si>
    <t>TICKET-1148</t>
  </si>
  <si>
    <t>You reflect radio. Especially speech wish interesting wife.</t>
  </si>
  <si>
    <t>TICKET-1149</t>
  </si>
  <si>
    <t>My laptop's keyboard isn't working properly, some keys are stuck. Event pattern factor deep manager work.</t>
  </si>
  <si>
    <t>mon_year</t>
  </si>
  <si>
    <t>day</t>
  </si>
  <si>
    <t>hour</t>
  </si>
  <si>
    <t>res_time_hr</t>
  </si>
  <si>
    <t>res_time</t>
  </si>
  <si>
    <t>avg_res_time</t>
  </si>
  <si>
    <t>Row Labels</t>
  </si>
  <si>
    <t>Grand Total</t>
  </si>
  <si>
    <t>Column Labels</t>
  </si>
  <si>
    <t>Sum of avg_res_time</t>
  </si>
  <si>
    <t>Count of ticket_id</t>
  </si>
  <si>
    <t>assigned_DA</t>
  </si>
  <si>
    <t>Recommendations for IT Director</t>
  </si>
  <si>
    <t>• Implement an automated password reset/self-service tool to reduce 'Access' tickets.</t>
  </si>
  <si>
    <t>• Prioritize fixes for Application X (frequent 'Software' crashes) and allocate a focused bug-squad.</t>
  </si>
  <si>
    <t>• Introduce keyboard/ hardware checklists and replacement program for recurring 'Hardware' issues.</t>
  </si>
  <si>
    <t>• Create a Wi-Fi network incident playbook to reduce 'Network' resolution time.</t>
  </si>
  <si>
    <t>• Provide targeted training and SLA coaching for analysts with higher avg resolution times.</t>
  </si>
  <si>
    <t>• Add structure to ticket descriptions (category tags + steps to reproduce) to aid faster triage.</t>
  </si>
  <si>
    <r>
      <t>Fastest (best performer):</t>
    </r>
    <r>
      <rPr>
        <sz val="11"/>
        <color theme="1"/>
        <rFont val="Aptos Narrow"/>
        <family val="2"/>
        <scheme val="minor"/>
      </rPr>
      <t xml:space="preserve"> Natasha Harris (0.1633)</t>
    </r>
  </si>
  <si>
    <r>
      <t>Slowest (needs improvement):</t>
    </r>
    <r>
      <rPr>
        <sz val="11"/>
        <color theme="1"/>
        <rFont val="Aptos Narrow"/>
        <family val="2"/>
        <scheme val="minor"/>
      </rPr>
      <t xml:space="preserve"> Tanya Jones (0.4518)</t>
    </r>
  </si>
  <si>
    <t xml:space="preserve">  Insights: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</si>
</sst>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b/>
      <sz val="12"/>
      <name val="Calibri"/>
      <family val="2"/>
    </font>
    <font>
      <sz val="12"/>
      <color indexed="8"/>
      <name val="Calibri"/>
      <family val="2"/>
    </font>
    <font>
      <b/>
      <sz val="13.5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4" fillId="2" borderId="0" xfId="0" applyNumberFormat="1" applyFont="1" applyFill="1" applyBorder="1" applyAlignment="1" applyProtection="1">
      <alignment horizontal="center"/>
    </xf>
    <xf numFmtId="0" fontId="3" fillId="3" borderId="0" xfId="0" applyNumberFormat="1" applyFont="1" applyFill="1" applyBorder="1" applyAlignment="1" applyProtection="1"/>
    <xf numFmtId="0" fontId="5" fillId="3" borderId="0" xfId="0" applyNumberFormat="1" applyFont="1" applyFill="1" applyBorder="1" applyAlignment="1" applyProtection="1"/>
    <xf numFmtId="0" fontId="0" fillId="3" borderId="0" xfId="0" applyFill="1"/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19"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164" formatCode="[$-F400]h:mm:ss\ AM/PM"/>
      <alignment horizontal="center" vertical="bottom" textRotation="0" indent="0" justifyLastLine="0" shrinkToFit="0" readingOrder="0"/>
    </dxf>
    <dxf>
      <numFmt numFmtId="164" formatCode="[$-F400]h:mm:ss\ AM/PM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[Tickets_analysis_report1.xlsx]resolution_time!PivotTable1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05724018540235"/>
          <c:y val="0.15374119901678956"/>
          <c:w val="0.73784514435695536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resolution_time!$B$1:$B$2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resolution_time!$A$3:$A$10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resolution_time!$B$3:$B$10</c:f>
              <c:numCache>
                <c:formatCode>0.00</c:formatCode>
                <c:ptCount val="7"/>
                <c:pt idx="1">
                  <c:v>3.487847222222222E-2</c:v>
                </c:pt>
                <c:pt idx="2">
                  <c:v>7.9120370370370369E-3</c:v>
                </c:pt>
                <c:pt idx="6">
                  <c:v>1.9150462962962959E-2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8-4287-BF1D-62B24CF967EF}"/>
            </c:ext>
          </c:extLst>
        </c:ser>
        <c:ser>
          <c:idx val="1"/>
          <c:order val="1"/>
          <c:tx>
            <c:strRef>
              <c:f>resolution_time!$C$1:$C$2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resolution_time!$A$3:$A$10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resolution_time!$C$3:$C$10</c:f>
              <c:numCache>
                <c:formatCode>0.00</c:formatCode>
                <c:ptCount val="7"/>
                <c:pt idx="0">
                  <c:v>7.2818287037037022E-2</c:v>
                </c:pt>
                <c:pt idx="1">
                  <c:v>2.5315972222222226E-2</c:v>
                </c:pt>
                <c:pt idx="2">
                  <c:v>9.4881944444444449E-2</c:v>
                </c:pt>
                <c:pt idx="3">
                  <c:v>9.548726851851852E-2</c:v>
                </c:pt>
                <c:pt idx="4">
                  <c:v>8.9204861111111117E-2</c:v>
                </c:pt>
                <c:pt idx="5">
                  <c:v>2.7986111111111111E-2</c:v>
                </c:pt>
                <c:pt idx="6">
                  <c:v>0.11295254629629629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8-4287-BF1D-62B24CF967EF}"/>
            </c:ext>
          </c:extLst>
        </c:ser>
        <c:ser>
          <c:idx val="2"/>
          <c:order val="2"/>
          <c:tx>
            <c:strRef>
              <c:f>resolution_time!$D$1:$D$2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resolution_time!$A$3:$A$10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resolution_time!$D$3:$D$10</c:f>
              <c:numCache>
                <c:formatCode>0.00</c:formatCode>
                <c:ptCount val="7"/>
                <c:pt idx="0">
                  <c:v>0.13759953703703703</c:v>
                </c:pt>
                <c:pt idx="1">
                  <c:v>0.1202048611111111</c:v>
                </c:pt>
                <c:pt idx="2">
                  <c:v>0.16963541666666668</c:v>
                </c:pt>
                <c:pt idx="3">
                  <c:v>0.16967708333333331</c:v>
                </c:pt>
                <c:pt idx="4">
                  <c:v>0.1031539351851852</c:v>
                </c:pt>
                <c:pt idx="5">
                  <c:v>0.13494791666666664</c:v>
                </c:pt>
                <c:pt idx="6">
                  <c:v>0.32404282407407403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8-4287-BF1D-62B24CF967EF}"/>
            </c:ext>
          </c:extLst>
        </c:ser>
        <c:ser>
          <c:idx val="3"/>
          <c:order val="3"/>
          <c:tx>
            <c:strRef>
              <c:f>resolution_time!$E$1:$E$2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resolution_time!$A$3:$A$10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resolution_time!$E$3:$E$10</c:f>
              <c:numCache>
                <c:formatCode>0.00</c:formatCode>
                <c:ptCount val="7"/>
                <c:pt idx="0">
                  <c:v>0.10036574074074076</c:v>
                </c:pt>
                <c:pt idx="1">
                  <c:v>7.1369212962962961E-2</c:v>
                </c:pt>
                <c:pt idx="2">
                  <c:v>0.14763657407407407</c:v>
                </c:pt>
                <c:pt idx="3">
                  <c:v>0.28801736111111115</c:v>
                </c:pt>
                <c:pt idx="4">
                  <c:v>0.16476157407407407</c:v>
                </c:pt>
                <c:pt idx="6">
                  <c:v>0.58545601851851847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98-4287-BF1D-62B24CF96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8666368"/>
        <c:axId val="1708664448"/>
      </c:barChart>
      <c:catAx>
        <c:axId val="170866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664448"/>
        <c:crosses val="autoZero"/>
        <c:auto val="1"/>
        <c:lblAlgn val="ctr"/>
        <c:lblOffset val="100"/>
        <c:noMultiLvlLbl val="0"/>
      </c:catAx>
      <c:valAx>
        <c:axId val="170866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66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[Tickets_analysis_report1.xlsx]root_cause!PivotTable5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241265778173478E-2"/>
          <c:y val="0.13937272992391103"/>
          <c:w val="0.7178077427821522"/>
          <c:h val="0.65890128317293672"/>
        </c:manualLayout>
      </c:layout>
      <c:lineChart>
        <c:grouping val="standard"/>
        <c:varyColors val="0"/>
        <c:ser>
          <c:idx val="0"/>
          <c:order val="0"/>
          <c:tx>
            <c:strRef>
              <c:f>root_cause!$B$3:$B$4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root_cause!$A$5:$A$12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root_cause!$B$5:$B$12</c:f>
              <c:numCache>
                <c:formatCode>General</c:formatCode>
                <c:ptCount val="7"/>
                <c:pt idx="1">
                  <c:v>1</c:v>
                </c:pt>
                <c:pt idx="2">
                  <c:v>1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1-41BA-9F96-58E8BFDAE233}"/>
            </c:ext>
          </c:extLst>
        </c:ser>
        <c:ser>
          <c:idx val="1"/>
          <c:order val="1"/>
          <c:tx>
            <c:strRef>
              <c:f>root_cause!$C$3:$C$4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root_cause!$A$5:$A$12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root_cause!$C$5:$C$12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11-41BA-9F96-58E8BFDAE233}"/>
            </c:ext>
          </c:extLst>
        </c:ser>
        <c:ser>
          <c:idx val="2"/>
          <c:order val="2"/>
          <c:tx>
            <c:strRef>
              <c:f>root_cause!$D$3:$D$4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root_cause!$A$5:$A$12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root_cause!$D$5:$D$12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10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11-41BA-9F96-58E8BFDAE233}"/>
            </c:ext>
          </c:extLst>
        </c:ser>
        <c:ser>
          <c:idx val="3"/>
          <c:order val="3"/>
          <c:tx>
            <c:strRef>
              <c:f>root_cause!$E$3:$E$4</c:f>
              <c:strCache>
                <c:ptCount val="1"/>
                <c:pt idx="0">
                  <c:v>Medium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root_cause!$A$5:$A$12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root_cause!$E$5:$E$12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9</c:v>
                </c:pt>
                <c:pt idx="3">
                  <c:v>11</c:v>
                </c:pt>
                <c:pt idx="4">
                  <c:v>8</c:v>
                </c:pt>
                <c:pt idx="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11-41BA-9F96-58E8BFDAE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205375"/>
        <c:axId val="434205855"/>
      </c:lineChart>
      <c:catAx>
        <c:axId val="43420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205855"/>
        <c:crosses val="autoZero"/>
        <c:auto val="1"/>
        <c:lblAlgn val="ctr"/>
        <c:lblOffset val="100"/>
        <c:noMultiLvlLbl val="0"/>
      </c:catAx>
      <c:valAx>
        <c:axId val="43420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20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[Tickets_analysis_report1.xlsx]analyst_performance!PivotTable4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analyst_performance!$B$2</c:f>
              <c:strCache>
                <c:ptCount val="1"/>
                <c:pt idx="0">
                  <c:v>Count of ticket_id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analyst_performance!$A$3:$A$13</c:f>
              <c:strCache>
                <c:ptCount val="10"/>
                <c:pt idx="0">
                  <c:v>Adam Stone</c:v>
                </c:pt>
                <c:pt idx="1">
                  <c:v>Amanda White</c:v>
                </c:pt>
                <c:pt idx="2">
                  <c:v>Autumn Ryan</c:v>
                </c:pt>
                <c:pt idx="3">
                  <c:v>Cynthia Rich</c:v>
                </c:pt>
                <c:pt idx="4">
                  <c:v>Janice Burns</c:v>
                </c:pt>
                <c:pt idx="5">
                  <c:v>Marvin West</c:v>
                </c:pt>
                <c:pt idx="6">
                  <c:v>Natasha Harris</c:v>
                </c:pt>
                <c:pt idx="7">
                  <c:v>Sheila Ball</c:v>
                </c:pt>
                <c:pt idx="8">
                  <c:v>Tanya Jones</c:v>
                </c:pt>
                <c:pt idx="9">
                  <c:v>Toni Wiley</c:v>
                </c:pt>
              </c:strCache>
            </c:strRef>
          </c:cat>
          <c:val>
            <c:numRef>
              <c:f>analyst_performance!$B$3:$B$13</c:f>
              <c:numCache>
                <c:formatCode>General</c:formatCode>
                <c:ptCount val="10"/>
                <c:pt idx="0">
                  <c:v>16</c:v>
                </c:pt>
                <c:pt idx="1">
                  <c:v>15</c:v>
                </c:pt>
                <c:pt idx="2">
                  <c:v>17</c:v>
                </c:pt>
                <c:pt idx="3">
                  <c:v>17</c:v>
                </c:pt>
                <c:pt idx="4">
                  <c:v>13</c:v>
                </c:pt>
                <c:pt idx="5">
                  <c:v>8</c:v>
                </c:pt>
                <c:pt idx="6">
                  <c:v>7</c:v>
                </c:pt>
                <c:pt idx="7">
                  <c:v>16</c:v>
                </c:pt>
                <c:pt idx="8">
                  <c:v>27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6-453C-B695-2DF516928ED5}"/>
            </c:ext>
          </c:extLst>
        </c:ser>
        <c:ser>
          <c:idx val="1"/>
          <c:order val="1"/>
          <c:tx>
            <c:strRef>
              <c:f>analyst_performance!$C$2</c:f>
              <c:strCache>
                <c:ptCount val="1"/>
                <c:pt idx="0">
                  <c:v>Sum of avg_res_time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analyst_performance!$A$3:$A$13</c:f>
              <c:strCache>
                <c:ptCount val="10"/>
                <c:pt idx="0">
                  <c:v>Adam Stone</c:v>
                </c:pt>
                <c:pt idx="1">
                  <c:v>Amanda White</c:v>
                </c:pt>
                <c:pt idx="2">
                  <c:v>Autumn Ryan</c:v>
                </c:pt>
                <c:pt idx="3">
                  <c:v>Cynthia Rich</c:v>
                </c:pt>
                <c:pt idx="4">
                  <c:v>Janice Burns</c:v>
                </c:pt>
                <c:pt idx="5">
                  <c:v>Marvin West</c:v>
                </c:pt>
                <c:pt idx="6">
                  <c:v>Natasha Harris</c:v>
                </c:pt>
                <c:pt idx="7">
                  <c:v>Sheila Ball</c:v>
                </c:pt>
                <c:pt idx="8">
                  <c:v>Tanya Jones</c:v>
                </c:pt>
                <c:pt idx="9">
                  <c:v>Toni Wiley</c:v>
                </c:pt>
              </c:strCache>
            </c:strRef>
          </c:cat>
          <c:val>
            <c:numRef>
              <c:f>analyst_performance!$C$3:$C$13</c:f>
              <c:numCache>
                <c:formatCode>General</c:formatCode>
                <c:ptCount val="10"/>
                <c:pt idx="0">
                  <c:v>0.32693981481481477</c:v>
                </c:pt>
                <c:pt idx="1">
                  <c:v>0.35209143518518515</c:v>
                </c:pt>
                <c:pt idx="2">
                  <c:v>0.28533101851851855</c:v>
                </c:pt>
                <c:pt idx="3">
                  <c:v>0.35577314814814809</c:v>
                </c:pt>
                <c:pt idx="4">
                  <c:v>0.24178819444444444</c:v>
                </c:pt>
                <c:pt idx="5">
                  <c:v>0.17935300925925926</c:v>
                </c:pt>
                <c:pt idx="6">
                  <c:v>0.16327546296296297</c:v>
                </c:pt>
                <c:pt idx="7">
                  <c:v>0.38772337962962966</c:v>
                </c:pt>
                <c:pt idx="8">
                  <c:v>0.4517500000000001</c:v>
                </c:pt>
                <c:pt idx="9">
                  <c:v>0.35343055555555553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B6-453C-B695-2DF516928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4328560"/>
        <c:axId val="904326640"/>
      </c:barChart>
      <c:catAx>
        <c:axId val="904328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26640"/>
        <c:crosses val="autoZero"/>
        <c:auto val="1"/>
        <c:lblAlgn val="ctr"/>
        <c:lblOffset val="100"/>
        <c:noMultiLvlLbl val="0"/>
      </c:catAx>
      <c:valAx>
        <c:axId val="90432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2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0</xdr:row>
      <xdr:rowOff>0</xdr:rowOff>
    </xdr:from>
    <xdr:to>
      <xdr:col>8</xdr:col>
      <xdr:colOff>15240</xdr:colOff>
      <xdr:row>13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BB0326-CCEC-4650-9B74-681A47414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0</xdr:row>
      <xdr:rowOff>30480</xdr:rowOff>
    </xdr:from>
    <xdr:to>
      <xdr:col>15</xdr:col>
      <xdr:colOff>228600</xdr:colOff>
      <xdr:row>13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44B524-F03E-46EF-BC8D-ED839CAE1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274320</xdr:colOff>
      <xdr:row>13</xdr:row>
      <xdr:rowOff>68580</xdr:rowOff>
    </xdr:from>
    <xdr:to>
      <xdr:col>11</xdr:col>
      <xdr:colOff>45720</xdr:colOff>
      <xdr:row>26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E3A635-0F81-4EF7-A4D8-D35A3DD61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" refreshedDate="45917.555478703704" createdVersion="8" refreshedVersion="8" minRefreshableVersion="3" recordCount="150" xr:uid="{40B59CE8-1676-485A-9408-8BE7E9C0F441}">
  <cacheSource type="worksheet">
    <worksheetSource name="Table1"/>
  </cacheSource>
  <cacheFields count="13">
    <cacheField name="ticket_id" numFmtId="0">
      <sharedItems/>
    </cacheField>
    <cacheField name="submission_date" numFmtId="164">
      <sharedItems containsSemiMixedTypes="0" containsNonDate="0" containsDate="1" containsString="0" minDate="1899-12-30T00:00:06" maxDate="1899-12-30T00:59:04"/>
    </cacheField>
    <cacheField name="resolution_date" numFmtId="164">
      <sharedItems containsSemiMixedTypes="0" containsNonDate="0" containsDate="1" containsString="0" minDate="1899-12-30T00:00:27" maxDate="1899-12-30T00:59:57"/>
    </cacheField>
    <cacheField name="category" numFmtId="0">
      <sharedItems count="7">
        <s v="Other"/>
        <s v="Software"/>
        <s v="Hardware"/>
        <s v="Access"/>
        <s v="Network"/>
        <s v="Security"/>
        <s v="Billing"/>
      </sharedItems>
    </cacheField>
    <cacheField name="assigned_analyst" numFmtId="0">
      <sharedItems count="10">
        <s v="Toni Wiley"/>
        <s v="Tanya Jones"/>
        <s v="Sheila Ball"/>
        <s v="Cynthia Rich"/>
        <s v="Janice Burns"/>
        <s v="Autumn Ryan"/>
        <s v="Amanda White"/>
        <s v="Adam Stone"/>
        <s v="Natasha Harris"/>
        <s v="Marvin West"/>
      </sharedItems>
    </cacheField>
    <cacheField name="description" numFmtId="0">
      <sharedItems/>
    </cacheField>
    <cacheField name="priority" numFmtId="0">
      <sharedItems count="4">
        <s v="High"/>
        <s v="Medium"/>
        <s v="Low"/>
        <s v="Critical"/>
      </sharedItems>
    </cacheField>
    <cacheField name="day" numFmtId="0">
      <sharedItems/>
    </cacheField>
    <cacheField name="mon_year" numFmtId="0">
      <sharedItems/>
    </cacheField>
    <cacheField name="hour" numFmtId="0">
      <sharedItems containsSemiMixedTypes="0" containsString="0" containsNumber="1" containsInteger="1" minValue="0" maxValue="0"/>
    </cacheField>
    <cacheField name="res_time" numFmtId="0">
      <sharedItems containsSemiMixedTypes="0" containsString="0" containsNumber="1" minValue="-3.9083333333333338E-2" maxValue="3.7738425925925925E-2"/>
    </cacheField>
    <cacheField name="res_time_hr" numFmtId="0">
      <sharedItems containsSemiMixedTypes="0" containsString="0" containsNumber="1" minValue="-0.93800000000000017" maxValue="0.90572222222222221"/>
    </cacheField>
    <cacheField name="avg_res_time" numFmtId="0">
      <sharedItems containsSemiMixedTypes="0" containsString="0" containsNumber="1" minValue="3.1018518518518521E-4" maxValue="4.163078703703703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" refreshedDate="45917.593799768518" backgroundQuery="1" createdVersion="8" refreshedVersion="8" minRefreshableVersion="3" recordCount="0" supportSubquery="1" supportAdvancedDrill="1" xr:uid="{EE6AD50A-BEF3-4D35-BB18-8B53FFA74183}">
  <cacheSource type="external" connectionId="1"/>
  <cacheFields count="3">
    <cacheField name="[Measures].[Count of ticket_id]" caption="Count of ticket_id" numFmtId="0" hierarchy="19" level="32767"/>
    <cacheField name="[Table1].[priority].[priority]" caption="priority" numFmtId="0" hierarchy="6" level="1">
      <sharedItems count="4">
        <s v="Critical"/>
        <s v="High"/>
        <s v="Low"/>
        <s v="Medium"/>
      </sharedItems>
    </cacheField>
    <cacheField name="[Table1].[category].[category]" caption="category" numFmtId="0" hierarchy="3" level="1">
      <sharedItems count="7">
        <s v="Access"/>
        <s v="Billing"/>
        <s v="Hardware"/>
        <s v="Network"/>
        <s v="Other"/>
        <s v="Security"/>
        <s v="Software"/>
      </sharedItems>
    </cacheField>
  </cacheFields>
  <cacheHierarchies count="22">
    <cacheHierarchy uniqueName="[Table1].[ticket_id]" caption="ticket_id" attribute="1" defaultMemberUniqueName="[Table1].[ticket_id].[All]" allUniqueName="[Table1].[ticket_id].[All]" dimensionUniqueName="[Table1]" displayFolder="" count="0" memberValueDatatype="130" unbalanced="0"/>
    <cacheHierarchy uniqueName="[Table1].[submission_date]" caption="submission_date" attribute="1" time="1" defaultMemberUniqueName="[Table1].[submission_date].[All]" allUniqueName="[Table1].[submission_date].[All]" dimensionUniqueName="[Table1]" displayFolder="" count="0" memberValueDatatype="7" unbalanced="0"/>
    <cacheHierarchy uniqueName="[Table1].[resolution_date]" caption="resolution_date" attribute="1" time="1" defaultMemberUniqueName="[Table1].[resolution_date].[All]" allUniqueName="[Table1].[resolution_date].[All]" dimensionUniqueName="[Table1]" displayFolder="" count="0" memberValueDatatype="7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assigned_analyst]" caption="assigned_analyst" attribute="1" defaultMemberUniqueName="[Table1].[assigned_analyst].[All]" allUniqueName="[Table1].[assigned_analyst].[All]" dimensionUniqueName="[Table1]" displayFolder="" count="2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priority]" caption="priority" attribute="1" defaultMemberUniqueName="[Table1].[priority].[All]" allUniqueName="[Table1].[priorit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mon_year]" caption="mon_year" attribute="1" defaultMemberUniqueName="[Table1].[mon_year].[All]" allUniqueName="[Table1].[mon_year].[All]" dimensionUniqueName="[Table1]" displayFolder="" count="0" memberValueDatatype="130" unbalanced="0"/>
    <cacheHierarchy uniqueName="[Table1].[hour]" caption="hour" attribute="1" defaultMemberUniqueName="[Table1].[hour].[All]" allUniqueName="[Table1].[hour].[All]" dimensionUniqueName="[Table1]" displayFolder="" count="0" memberValueDatatype="20" unbalanced="0"/>
    <cacheHierarchy uniqueName="[Table1].[res_time]" caption="res_time" attribute="1" defaultMemberUniqueName="[Table1].[res_time].[All]" allUniqueName="[Table1].[res_time].[All]" dimensionUniqueName="[Table1]" displayFolder="" count="0" memberValueDatatype="5" unbalanced="0"/>
    <cacheHierarchy uniqueName="[Table1].[res_time_hr]" caption="res_time_hr" attribute="1" defaultMemberUniqueName="[Table1].[res_time_hr].[All]" allUniqueName="[Table1].[res_time_hr].[All]" dimensionUniqueName="[Table1]" displayFolder="" count="0" memberValueDatatype="5" unbalanced="0"/>
    <cacheHierarchy uniqueName="[Table1].[avg_res_time]" caption="avg_res_time" attribute="1" defaultMemberUniqueName="[Table1].[avg_res_time].[All]" allUniqueName="[Table1].[avg_res_time].[All]" dimensionUniqueName="[Table1]" displayFolder="" count="0" memberValueDatatype="5" unbalanced="0"/>
    <cacheHierarchy uniqueName="[Table1].[network]" caption="network" attribute="1" defaultMemberUniqueName="[Table1].[network].[All]" allUniqueName="[Table1].[network].[All]" dimensionUniqueName="[Table1]" displayFolder="" count="2" memberValueDatatype="130" unbalanced="0"/>
    <cacheHierarchy uniqueName="[Table1].[software]" caption="software" attribute="1" defaultMemberUniqueName="[Table1].[software].[All]" allUniqueName="[Table1].[software].[All]" dimensionUniqueName="[Table1]" displayFolder="" count="2" memberValueDatatype="130" unbalanced="0"/>
    <cacheHierarchy uniqueName="[Table1].[hardware]" caption="hardware" attribute="1" defaultMemberUniqueName="[Table1].[hardware].[All]" allUniqueName="[Table1].[hardware].[All]" dimensionUniqueName="[Table1]" displayFolder="" count="2" memberValueDatatype="130" unbalanced="0"/>
    <cacheHierarchy uniqueName="[Table1].[password]" caption="password" attribute="1" defaultMemberUniqueName="[Table1].[password].[All]" allUniqueName="[Table1].[password].[All]" dimensionUniqueName="[Table1]" displayFolder="" count="2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ticket_id]" caption="Count of ticket_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escription]" caption="Count of description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ssigned_analyst]" caption="Count of assigned_analyst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TICKET-1000"/>
    <d v="1899-12-30T00:36:16"/>
    <d v="1899-12-30T00:46:41"/>
    <x v="0"/>
    <x v="0"/>
    <s v="Dream part subject until full. Brother century suddenly above. Six eight benefit animal move best."/>
    <x v="0"/>
    <s v="Saturday"/>
    <s v="Jan-1900"/>
    <n v="0"/>
    <n v="7.2291666666666685E-3"/>
    <n v="0.17350000000000004"/>
    <n v="3.2414351851851854E-2"/>
  </r>
  <r>
    <s v="TICKET-1001"/>
    <d v="1899-12-30T00:27:59"/>
    <d v="1899-12-30T00:18:06"/>
    <x v="1"/>
    <x v="1"/>
    <s v="Application X is crashing every time I open it. Lead how phone also score player later blue."/>
    <x v="1"/>
    <s v="Saturday"/>
    <s v="Jan-1900"/>
    <n v="0"/>
    <n v="-6.866898148148148E-3"/>
    <n v="-0.16480555555555554"/>
    <n v="1.2565972222222223E-2"/>
  </r>
  <r>
    <s v="TICKET-1002"/>
    <d v="1899-12-30T00:32:02"/>
    <d v="1899-12-30T00:50:37"/>
    <x v="0"/>
    <x v="2"/>
    <s v="Black attack cold would page. Reality she war a chance. Physical hour Mr item red agreement for."/>
    <x v="1"/>
    <s v="Saturday"/>
    <s v="Jan-1900"/>
    <n v="0"/>
    <n v="1.2893518518518519E-2"/>
    <n v="0.30944444444444447"/>
    <n v="3.5144675925925926E-2"/>
  </r>
  <r>
    <s v="TICKET-1003"/>
    <d v="1899-12-30T00:47:34"/>
    <d v="1899-12-30T00:38:19"/>
    <x v="2"/>
    <x v="3"/>
    <s v="My laptop's keyboard isn't working properly, some keys are stuck. Tree culture above effort more national whether."/>
    <x v="0"/>
    <s v="Saturday"/>
    <s v="Jan-1900"/>
    <n v="0"/>
    <n v="-6.420138888888885E-3"/>
    <n v="-0.15408333333333324"/>
    <n v="2.6612268518518521E-2"/>
  </r>
  <r>
    <s v="TICKET-1004"/>
    <d v="1899-12-30T00:46:09"/>
    <d v="1899-12-30T00:53:07"/>
    <x v="1"/>
    <x v="4"/>
    <s v="Application X is crashing every time I open it. Order wrong fight foreign bad house pick."/>
    <x v="0"/>
    <s v="Saturday"/>
    <s v="Jan-1900"/>
    <n v="0"/>
    <n v="4.8449074074074089E-3"/>
    <n v="0.11627777777777781"/>
    <n v="3.6888888888888888E-2"/>
  </r>
  <r>
    <s v="TICKET-1005"/>
    <d v="1899-12-30T00:32:40"/>
    <d v="1899-12-30T00:52:42"/>
    <x v="1"/>
    <x v="2"/>
    <s v="Application X is crashing every time I open it. Sport should network realize relate very voice."/>
    <x v="2"/>
    <s v="Saturday"/>
    <s v="Jan-1900"/>
    <n v="0"/>
    <n v="1.3903935185185186E-2"/>
    <n v="0.33369444444444446"/>
    <n v="3.6592592592592593E-2"/>
  </r>
  <r>
    <s v="TICKET-1006"/>
    <d v="1899-12-30T00:38:16"/>
    <d v="1899-12-30T00:11:49"/>
    <x v="3"/>
    <x v="5"/>
    <s v="I'm locked out of my account and can't reset my password. If rather year suffer wrong."/>
    <x v="2"/>
    <s v="Saturday"/>
    <s v="Jan-1900"/>
    <n v="0"/>
    <n v="-1.8358796296296293E-2"/>
    <n v="-0.44061111111111106"/>
    <n v="8.2118055555555555E-3"/>
  </r>
  <r>
    <s v="TICKET-1007"/>
    <d v="1899-12-30T00:43:28"/>
    <d v="1899-12-30T00:26:19"/>
    <x v="1"/>
    <x v="6"/>
    <s v="Application X is crashing every time I open it. Here bill leg region training. Grow new may."/>
    <x v="2"/>
    <s v="Saturday"/>
    <s v="Jan-1900"/>
    <n v="0"/>
    <n v="-1.1903935185185188E-2"/>
    <n v="-0.28569444444444447"/>
    <n v="1.8281249999999999E-2"/>
  </r>
  <r>
    <s v="TICKET-1008"/>
    <d v="1899-12-30T00:41:14"/>
    <d v="1899-12-30T00:04:28"/>
    <x v="2"/>
    <x v="6"/>
    <s v="My laptop's keyboard isn't working properly, some keys are stuck. Common maintain theory involve ok detail."/>
    <x v="1"/>
    <s v="Saturday"/>
    <s v="Jan-1900"/>
    <n v="0"/>
    <n v="-2.552662037037037E-2"/>
    <n v="-0.61263888888888884"/>
    <n v="3.1030092592592593E-3"/>
  </r>
  <r>
    <s v="TICKET-1009"/>
    <d v="1899-12-30T00:49:33"/>
    <d v="1899-12-30T00:58:37"/>
    <x v="1"/>
    <x v="2"/>
    <s v="Application X is crashing every time I open it. Responsibility again recently traditional word."/>
    <x v="1"/>
    <s v="Saturday"/>
    <s v="Jan-1900"/>
    <n v="0"/>
    <n v="6.299768518518517E-3"/>
    <n v="0.15119444444444441"/>
    <n v="4.0707175925925924E-2"/>
  </r>
  <r>
    <s v="TICKET-1010"/>
    <d v="1899-12-30T00:20:02"/>
    <d v="1899-12-30T00:28:31"/>
    <x v="1"/>
    <x v="7"/>
    <s v="Application X is crashing every time I open it. Structure this woman born."/>
    <x v="2"/>
    <s v="Saturday"/>
    <s v="Jan-1900"/>
    <n v="0"/>
    <n v="5.8981481481481506E-3"/>
    <n v="0.1415555555555556"/>
    <n v="1.9807870370370372E-2"/>
  </r>
  <r>
    <s v="TICKET-1011"/>
    <d v="1899-12-30T00:56:19"/>
    <d v="1899-12-30T00:46:33"/>
    <x v="4"/>
    <x v="8"/>
    <s v="Can't connect to the Wi-Fi. It's showing 'No internet access'. Maintain without college strong few not week."/>
    <x v="0"/>
    <s v="Saturday"/>
    <s v="Jan-1900"/>
    <n v="0"/>
    <n v="-6.7824074074074037E-3"/>
    <n v="-0.16277777777777769"/>
    <n v="3.2322916666666666E-2"/>
  </r>
  <r>
    <s v="TICKET-1012"/>
    <d v="1899-12-30T00:51:47"/>
    <d v="1899-12-30T00:58:41"/>
    <x v="4"/>
    <x v="0"/>
    <s v="Can't connect to the Wi-Fi. It's showing 'No internet access'. Official human task door century energy Mr."/>
    <x v="1"/>
    <s v="Saturday"/>
    <s v="Jan-1900"/>
    <n v="0"/>
    <n v="4.7928240740740743E-3"/>
    <n v="0.11502777777777778"/>
    <n v="4.0754629629629627E-2"/>
  </r>
  <r>
    <s v="TICKET-1013"/>
    <d v="1899-12-30T00:08:54"/>
    <d v="1899-12-30T00:54:44"/>
    <x v="1"/>
    <x v="6"/>
    <s v="Application X is crashing every time I open it. Spring operation performance glass choice kind."/>
    <x v="2"/>
    <s v="Saturday"/>
    <s v="Jan-1900"/>
    <n v="0"/>
    <n v="3.1831018518518522E-2"/>
    <n v="0.76394444444444454"/>
    <n v="3.8006944444444447E-2"/>
  </r>
  <r>
    <s v="TICKET-1014"/>
    <d v="1899-12-30T00:32:58"/>
    <d v="1899-12-30T00:11:32"/>
    <x v="1"/>
    <x v="1"/>
    <s v="Application X is crashing every time I open it. Summer yard maintain fire ask eight."/>
    <x v="0"/>
    <s v="Saturday"/>
    <s v="Jan-1900"/>
    <n v="0"/>
    <n v="-1.4887731481481483E-2"/>
    <n v="-0.3573055555555556"/>
    <n v="8.0069444444444433E-3"/>
  </r>
  <r>
    <s v="TICKET-1015"/>
    <d v="1899-12-30T00:34:11"/>
    <d v="1899-12-30T00:20:02"/>
    <x v="1"/>
    <x v="9"/>
    <s v="Application X is crashing every time I open it. Least check between event. Can brother two form."/>
    <x v="0"/>
    <s v="Saturday"/>
    <s v="Jan-1900"/>
    <n v="0"/>
    <n v="-9.8298611111111139E-3"/>
    <n v="-0.23591666666666672"/>
    <n v="1.390625E-2"/>
  </r>
  <r>
    <s v="TICKET-1016"/>
    <d v="1899-12-30T00:52:05"/>
    <d v="1899-12-30T00:18:53"/>
    <x v="1"/>
    <x v="6"/>
    <s v="Application X is crashing every time I open it. Resource in affect charge customer accept dream."/>
    <x v="2"/>
    <s v="Saturday"/>
    <s v="Jan-1900"/>
    <n v="0"/>
    <n v="-2.3059027777777772E-2"/>
    <n v="-0.55341666666666656"/>
    <n v="1.311226851851852E-2"/>
  </r>
  <r>
    <s v="TICKET-1017"/>
    <d v="1899-12-30T00:42:14"/>
    <d v="1899-12-30T00:37:18"/>
    <x v="5"/>
    <x v="0"/>
    <s v="Thought national word picture each deep."/>
    <x v="2"/>
    <s v="Saturday"/>
    <s v="Jan-1900"/>
    <n v="0"/>
    <n v="-3.4166666666666651E-3"/>
    <n v="-8.1999999999999962E-2"/>
    <n v="2.5908564814814815E-2"/>
  </r>
  <r>
    <s v="TICKET-1018"/>
    <d v="1899-12-30T00:03:04"/>
    <d v="1899-12-30T00:48:25"/>
    <x v="4"/>
    <x v="3"/>
    <s v="Can't connect to the Wi-Fi. It's showing 'No internet access'. Card series research else cup though artist."/>
    <x v="2"/>
    <s v="Saturday"/>
    <s v="Jan-1900"/>
    <n v="0"/>
    <n v="3.1489583333333335E-2"/>
    <n v="0.75575000000000003"/>
    <n v="3.3623842592592594E-2"/>
  </r>
  <r>
    <s v="TICKET-1019"/>
    <d v="1899-12-30T00:27:15"/>
    <d v="1899-12-30T00:58:39"/>
    <x v="2"/>
    <x v="3"/>
    <s v="My laptop's keyboard isn't working properly, some keys are stuck. Young up grow after offer east region would."/>
    <x v="1"/>
    <s v="Saturday"/>
    <s v="Jan-1900"/>
    <n v="0"/>
    <n v="2.179976851851852E-2"/>
    <n v="0.52319444444444452"/>
    <n v="4.0724537037037038E-2"/>
  </r>
  <r>
    <s v="TICKET-1020"/>
    <d v="1899-12-30T00:49:38"/>
    <d v="1899-12-30T00:06:40"/>
    <x v="1"/>
    <x v="1"/>
    <s v="Application X is crashing every time I open it. Nice then management."/>
    <x v="1"/>
    <s v="Saturday"/>
    <s v="Jan-1900"/>
    <n v="0"/>
    <n v="-2.9831018518518514E-2"/>
    <n v="-0.71594444444444427"/>
    <n v="4.6319444444444446E-3"/>
  </r>
  <r>
    <s v="TICKET-1021"/>
    <d v="1899-12-30T00:34:57"/>
    <d v="1899-12-30T00:25:12"/>
    <x v="1"/>
    <x v="0"/>
    <s v="Application X is crashing every time I open it. Water act involve follow hot."/>
    <x v="1"/>
    <s v="Saturday"/>
    <s v="Jan-1900"/>
    <n v="0"/>
    <n v="-6.7638888888888887E-3"/>
    <n v="-0.16233333333333333"/>
    <n v="1.750462962962963E-2"/>
  </r>
  <r>
    <s v="TICKET-1022"/>
    <d v="1899-12-30T00:29:46"/>
    <d v="1899-12-30T00:34:14"/>
    <x v="1"/>
    <x v="7"/>
    <s v="Application X is crashing every time I open it. Another such apply table let."/>
    <x v="1"/>
    <s v="Saturday"/>
    <s v="Jan-1900"/>
    <n v="0"/>
    <n v="3.1099537037037051E-3"/>
    <n v="7.4638888888888921E-2"/>
    <n v="2.3776620370370372E-2"/>
  </r>
  <r>
    <s v="TICKET-1023"/>
    <d v="1899-12-30T00:27:53"/>
    <d v="1899-12-30T00:23:45"/>
    <x v="1"/>
    <x v="4"/>
    <s v="Application X is crashing every time I open it. Senior per draw day mention sea quickly."/>
    <x v="1"/>
    <s v="Saturday"/>
    <s v="Jan-1900"/>
    <n v="0"/>
    <n v="-2.8703703703703703E-3"/>
    <n v="-6.8888888888888888E-2"/>
    <n v="1.6489583333333335E-2"/>
  </r>
  <r>
    <s v="TICKET-1024"/>
    <d v="1899-12-30T00:37:37"/>
    <d v="1899-12-30T00:42:35"/>
    <x v="4"/>
    <x v="3"/>
    <s v="Can't connect to the Wi-Fi. It's showing 'No internet access'. Race Republican expect east might collection."/>
    <x v="2"/>
    <s v="Saturday"/>
    <s v="Jan-1900"/>
    <n v="0"/>
    <n v="3.4479166666666651E-3"/>
    <n v="8.2749999999999962E-2"/>
    <n v="2.9572916666666664E-2"/>
  </r>
  <r>
    <s v="TICKET-1025"/>
    <d v="1899-12-30T00:42:50"/>
    <d v="1899-12-30T00:35:59"/>
    <x v="1"/>
    <x v="1"/>
    <s v="Application X is crashing every time I open it. Total maintain service writer."/>
    <x v="1"/>
    <s v="Saturday"/>
    <s v="Jan-1900"/>
    <n v="0"/>
    <n v="-4.7557870370370375E-3"/>
    <n v="-0.1141388888888889"/>
    <n v="2.498726851851852E-2"/>
  </r>
  <r>
    <s v="TICKET-1026"/>
    <d v="1899-12-30T00:26:51"/>
    <d v="1899-12-30T00:14:52"/>
    <x v="4"/>
    <x v="4"/>
    <s v="Can't connect to the Wi-Fi. It's showing 'No internet access'. Individual herself decide generation."/>
    <x v="0"/>
    <s v="Saturday"/>
    <s v="Jan-1900"/>
    <n v="0"/>
    <n v="-8.3252314814814803E-3"/>
    <n v="-0.19980555555555551"/>
    <n v="1.0324074074074074E-2"/>
  </r>
  <r>
    <s v="TICKET-1027"/>
    <d v="1899-12-30T00:29:05"/>
    <d v="1899-12-30T00:15:14"/>
    <x v="6"/>
    <x v="1"/>
    <s v="Yourself floor foot character choose. Brother prepare but film key name."/>
    <x v="1"/>
    <s v="Saturday"/>
    <s v="Jan-1900"/>
    <n v="0"/>
    <n v="-9.6238425925925936E-3"/>
    <n v="-0.23097222222222225"/>
    <n v="1.0577546296296297E-2"/>
  </r>
  <r>
    <s v="TICKET-1028"/>
    <d v="1899-12-30T00:02:57"/>
    <d v="1899-12-30T00:57:18"/>
    <x v="0"/>
    <x v="0"/>
    <s v="Successful radio play network yet. Fill director direction ready white."/>
    <x v="2"/>
    <s v="Saturday"/>
    <s v="Jan-1900"/>
    <n v="0"/>
    <n v="3.7738425925925925E-2"/>
    <n v="0.90572222222222221"/>
    <n v="3.9789351851851854E-2"/>
  </r>
  <r>
    <s v="TICKET-1029"/>
    <d v="1899-12-30T00:57:13"/>
    <d v="1899-12-30T00:38:57"/>
    <x v="1"/>
    <x v="2"/>
    <s v="Application X is crashing every time I open it. Southern beat general first much hotel agency."/>
    <x v="1"/>
    <s v="Saturday"/>
    <s v="Jan-1900"/>
    <n v="0"/>
    <n v="-1.2687499999999997E-2"/>
    <n v="-0.30449999999999994"/>
    <n v="2.7047453703703705E-2"/>
  </r>
  <r>
    <s v="TICKET-1030"/>
    <d v="1899-12-30T00:17:04"/>
    <d v="1899-12-30T00:38:11"/>
    <x v="4"/>
    <x v="2"/>
    <s v="Can't connect to the Wi-Fi. It's showing 'No internet access'. Cup government by life reduce each customer."/>
    <x v="2"/>
    <s v="Saturday"/>
    <s v="Jan-1900"/>
    <n v="0"/>
    <n v="1.4659722222222222E-2"/>
    <n v="0.35183333333333333"/>
    <n v="2.651736111111111E-2"/>
  </r>
  <r>
    <s v="TICKET-1031"/>
    <d v="1899-12-30T00:58:58"/>
    <d v="1899-12-30T00:35:19"/>
    <x v="1"/>
    <x v="1"/>
    <s v="Application X is crashing every time I open it. Market growth film."/>
    <x v="0"/>
    <s v="Saturday"/>
    <s v="Jan-1900"/>
    <n v="0"/>
    <n v="-1.6417824074074074E-2"/>
    <n v="-0.39402777777777775"/>
    <n v="2.4526620370370369E-2"/>
  </r>
  <r>
    <s v="TICKET-1032"/>
    <d v="1899-12-30T00:10:39"/>
    <d v="1899-12-30T00:40:38"/>
    <x v="4"/>
    <x v="6"/>
    <s v="Can't connect to the Wi-Fi. It's showing 'No internet access'. Could north state feel others participant."/>
    <x v="2"/>
    <s v="Saturday"/>
    <s v="Jan-1900"/>
    <n v="0"/>
    <n v="2.082291666666667E-2"/>
    <n v="0.49975000000000008"/>
    <n v="2.821527777777778E-2"/>
  </r>
  <r>
    <s v="TICKET-1033"/>
    <d v="1899-12-30T00:33:03"/>
    <d v="1899-12-30T00:28:47"/>
    <x v="6"/>
    <x v="5"/>
    <s v="Follow chair add finally these plan staff. Across shoulder school free."/>
    <x v="2"/>
    <s v="Saturday"/>
    <s v="Jan-1900"/>
    <n v="0"/>
    <n v="-2.9571759259259256E-3"/>
    <n v="-7.0972222222222214E-2"/>
    <n v="1.9989583333333331E-2"/>
  </r>
  <r>
    <s v="TICKET-1034"/>
    <d v="1899-12-30T00:06:08"/>
    <d v="1899-12-30T00:43:21"/>
    <x v="1"/>
    <x v="4"/>
    <s v="Application X is crashing every time I open it. Bag half join treat water by affect."/>
    <x v="2"/>
    <s v="Saturday"/>
    <s v="Jan-1900"/>
    <n v="0"/>
    <n v="2.5840277777777778E-2"/>
    <n v="0.62016666666666664"/>
    <n v="3.010300925925926E-2"/>
  </r>
  <r>
    <s v="TICKET-1035"/>
    <d v="1899-12-30T00:48:03"/>
    <d v="1899-12-30T00:36:47"/>
    <x v="2"/>
    <x v="1"/>
    <s v="My laptop's keyboard isn't working properly, some keys are stuck. Science bad news pressure anything probably save."/>
    <x v="2"/>
    <s v="Saturday"/>
    <s v="Jan-1900"/>
    <n v="0"/>
    <n v="-7.8217592592592644E-3"/>
    <n v="-0.18772222222222235"/>
    <n v="2.554398148148148E-2"/>
  </r>
  <r>
    <s v="TICKET-1036"/>
    <d v="1899-12-30T00:46:26"/>
    <d v="1899-12-30T00:18:49"/>
    <x v="1"/>
    <x v="8"/>
    <s v="Application X is crashing every time I open it. Fund project find law identify close worker."/>
    <x v="2"/>
    <s v="Saturday"/>
    <s v="Jan-1900"/>
    <n v="0"/>
    <n v="-1.9175925925925923E-2"/>
    <n v="-0.46022222222222214"/>
    <n v="1.3069444444444444E-2"/>
  </r>
  <r>
    <s v="TICKET-1037"/>
    <d v="1899-12-30T00:56:36"/>
    <d v="1899-12-30T00:07:19"/>
    <x v="0"/>
    <x v="7"/>
    <s v="Rate play media air. Trade thank hundred choice reduce remember possible us."/>
    <x v="2"/>
    <s v="Saturday"/>
    <s v="Jan-1900"/>
    <n v="0"/>
    <n v="-3.4222222222222223E-2"/>
    <n v="-0.82133333333333336"/>
    <n v="5.0821759259259266E-3"/>
  </r>
  <r>
    <s v="TICKET-1038"/>
    <d v="1899-12-30T00:20:12"/>
    <d v="1899-12-30T00:43:04"/>
    <x v="1"/>
    <x v="5"/>
    <s v="Application X is crashing every time I open it. Effort avoid door shoulder cut."/>
    <x v="1"/>
    <s v="Saturday"/>
    <s v="Jan-1900"/>
    <n v="0"/>
    <n v="1.5880787037037034E-2"/>
    <n v="0.3811388888888888"/>
    <n v="2.9909722222222219E-2"/>
  </r>
  <r>
    <s v="TICKET-1039"/>
    <d v="1899-12-30T00:30:07"/>
    <d v="1899-12-30T00:44:18"/>
    <x v="3"/>
    <x v="6"/>
    <s v="I'm locked out of my account and can't reset my password. Point fine stop radio chair tree career scene."/>
    <x v="1"/>
    <s v="Saturday"/>
    <s v="Jan-1900"/>
    <n v="0"/>
    <n v="9.8541666666666673E-3"/>
    <n v="0.23650000000000002"/>
    <n v="3.0769675925925926E-2"/>
  </r>
  <r>
    <s v="TICKET-1040"/>
    <d v="1899-12-30T00:49:39"/>
    <d v="1899-12-30T00:59:27"/>
    <x v="4"/>
    <x v="0"/>
    <s v="Can't connect to the Wi-Fi. It's showing 'No internet access'. Simple practice operation move put."/>
    <x v="1"/>
    <s v="Saturday"/>
    <s v="Jan-1900"/>
    <n v="0"/>
    <n v="6.8113425925925911E-3"/>
    <n v="0.16347222222222219"/>
    <n v="4.1287037037037032E-2"/>
  </r>
  <r>
    <s v="TICKET-1041"/>
    <d v="1899-12-30T00:26:30"/>
    <d v="1899-12-30T00:22:39"/>
    <x v="2"/>
    <x v="1"/>
    <s v="My laptop's keyboard isn't working properly, some keys are stuck. Firm discuss audience say amount."/>
    <x v="2"/>
    <s v="Saturday"/>
    <s v="Jan-1900"/>
    <n v="0"/>
    <n v="-2.6712962962962966E-3"/>
    <n v="-6.4111111111111119E-2"/>
    <n v="1.5729166666666666E-2"/>
  </r>
  <r>
    <s v="TICKET-1042"/>
    <d v="1899-12-30T00:42:24"/>
    <d v="1899-12-30T00:00:27"/>
    <x v="6"/>
    <x v="9"/>
    <s v="Physical business information._x000a_Activity else house another. Still protect admit answer."/>
    <x v="2"/>
    <s v="Saturday"/>
    <s v="Jan-1900"/>
    <n v="0"/>
    <n v="-2.9133101851851854E-2"/>
    <n v="-0.69919444444444445"/>
    <n v="3.1018518518518521E-4"/>
  </r>
  <r>
    <s v="TICKET-1043"/>
    <d v="1899-12-30T00:37:33"/>
    <d v="1899-12-30T00:09:44"/>
    <x v="1"/>
    <x v="6"/>
    <s v="Application X is crashing every time I open it. Anything despite not."/>
    <x v="3"/>
    <s v="Saturday"/>
    <s v="Jan-1900"/>
    <n v="0"/>
    <n v="-1.9309027777777779E-2"/>
    <n v="-0.4634166666666667"/>
    <n v="6.7627314814814807E-3"/>
  </r>
  <r>
    <s v="TICKET-1044"/>
    <d v="1899-12-30T00:02:33"/>
    <d v="1899-12-30T00:10:24"/>
    <x v="2"/>
    <x v="5"/>
    <s v="My laptop's keyboard isn't working properly, some keys are stuck. Film answer tax different carry represent."/>
    <x v="0"/>
    <s v="Saturday"/>
    <s v="Jan-1900"/>
    <n v="0"/>
    <n v="5.4537037037037045E-3"/>
    <n v="0.13088888888888892"/>
    <n v="7.224537037037038E-3"/>
  </r>
  <r>
    <s v="TICKET-1045"/>
    <d v="1899-12-30T00:41:54"/>
    <d v="1899-12-30T00:04:57"/>
    <x v="1"/>
    <x v="1"/>
    <s v="Application X is crashing every time I open it. American computer let go event."/>
    <x v="0"/>
    <s v="Saturday"/>
    <s v="Jan-1900"/>
    <n v="0"/>
    <n v="-2.565740740740741E-2"/>
    <n v="-0.61577777777777787"/>
    <n v="3.4375E-3"/>
  </r>
  <r>
    <s v="TICKET-1046"/>
    <d v="1899-12-30T00:43:06"/>
    <d v="1899-12-30T00:41:59"/>
    <x v="4"/>
    <x v="4"/>
    <s v="Can't connect to the Wi-Fi. It's showing 'No internet access'. Build oil wait community less happen."/>
    <x v="1"/>
    <s v="Saturday"/>
    <s v="Jan-1900"/>
    <n v="0"/>
    <n v="-7.7430555555554892E-4"/>
    <n v="-1.8583333333333174E-2"/>
    <n v="2.9152777777777781E-2"/>
  </r>
  <r>
    <s v="TICKET-1047"/>
    <d v="1899-12-30T00:23:41"/>
    <d v="1899-12-30T00:57:19"/>
    <x v="3"/>
    <x v="1"/>
    <s v="I'm locked out of my account and can't reset my password. Decide stuff agree national politics current son."/>
    <x v="2"/>
    <s v="Saturday"/>
    <s v="Jan-1900"/>
    <n v="0"/>
    <n v="2.3365740740740739E-2"/>
    <n v="0.56077777777777771"/>
    <n v="3.9807870370370368E-2"/>
  </r>
  <r>
    <s v="TICKET-1048"/>
    <d v="1899-12-30T00:12:43"/>
    <d v="1899-12-30T00:39:55"/>
    <x v="4"/>
    <x v="1"/>
    <s v="Can't connect to the Wi-Fi. It's showing 'No internet access'. Phone interview worker could."/>
    <x v="1"/>
    <s v="Saturday"/>
    <s v="Jan-1900"/>
    <n v="0"/>
    <n v="1.8880787037037036E-2"/>
    <n v="0.45313888888888887"/>
    <n v="2.7714120370370372E-2"/>
  </r>
  <r>
    <s v="TICKET-1049"/>
    <d v="1899-12-30T00:51:19"/>
    <d v="1899-12-30T00:32:46"/>
    <x v="4"/>
    <x v="1"/>
    <s v="Can't connect to the Wi-Fi. It's showing 'No internet access'. Together life least mission."/>
    <x v="1"/>
    <s v="Saturday"/>
    <s v="Jan-1900"/>
    <n v="0"/>
    <n v="-1.2886574074074071E-2"/>
    <n v="-0.30927777777777771"/>
    <n v="2.2752314814814815E-2"/>
  </r>
  <r>
    <s v="TICKET-1050"/>
    <d v="1899-12-30T00:22:42"/>
    <d v="1899-12-30T00:09:54"/>
    <x v="0"/>
    <x v="3"/>
    <s v="If forget newspaper behavior note put. Almost affect entire. Trial set capital real."/>
    <x v="2"/>
    <s v="Saturday"/>
    <s v="Jan-1900"/>
    <n v="0"/>
    <n v="-8.8900462962962952E-3"/>
    <n v="-0.21336111111111108"/>
    <n v="6.875E-3"/>
  </r>
  <r>
    <s v="TICKET-1051"/>
    <d v="1899-12-30T00:51:44"/>
    <d v="1899-12-30T00:25:06"/>
    <x v="1"/>
    <x v="1"/>
    <s v="Application X is crashing every time I open it. My sound short."/>
    <x v="2"/>
    <s v="Saturday"/>
    <s v="Jan-1900"/>
    <n v="0"/>
    <n v="-1.849189814814815E-2"/>
    <n v="-0.44380555555555556"/>
    <n v="1.7428240740740741E-2"/>
  </r>
  <r>
    <s v="TICKET-1052"/>
    <d v="1899-12-30T00:21:50"/>
    <d v="1899-12-30T00:27:46"/>
    <x v="1"/>
    <x v="3"/>
    <s v="Application X is crashing every time I open it. Where culture site value set."/>
    <x v="1"/>
    <s v="Saturday"/>
    <s v="Jan-1900"/>
    <n v="0"/>
    <n v="4.1226851851851841E-3"/>
    <n v="9.8944444444444418E-2"/>
    <n v="1.928125E-2"/>
  </r>
  <r>
    <s v="TICKET-1053"/>
    <d v="1899-12-30T00:41:48"/>
    <d v="1899-12-30T00:53:39"/>
    <x v="1"/>
    <x v="1"/>
    <s v="Application X is crashing every time I open it. Go claim billion small experience old."/>
    <x v="1"/>
    <s v="Saturday"/>
    <s v="Jan-1900"/>
    <n v="0"/>
    <n v="8.2222222222222245E-3"/>
    <n v="0.19733333333333339"/>
    <n v="3.7255787037037039E-2"/>
  </r>
  <r>
    <s v="TICKET-1054"/>
    <d v="1899-12-30T00:00:06"/>
    <d v="1899-12-30T00:03:10"/>
    <x v="4"/>
    <x v="2"/>
    <s v="Can't connect to the Wi-Fi. It's showing 'No internet access'. Option name including."/>
    <x v="0"/>
    <s v="Saturday"/>
    <s v="Jan-1900"/>
    <n v="0"/>
    <n v="2.1226851851851849E-3"/>
    <n v="5.0944444444444438E-2"/>
    <n v="2.1944444444444442E-3"/>
  </r>
  <r>
    <s v="TICKET-1055"/>
    <d v="1899-12-30T00:06:48"/>
    <d v="1899-12-30T00:47:48"/>
    <x v="3"/>
    <x v="1"/>
    <s v="I'm locked out of my account and can't reset my password. Idea enter expert decision something."/>
    <x v="1"/>
    <s v="Saturday"/>
    <s v="Jan-1900"/>
    <n v="0"/>
    <n v="2.8471064814814814E-2"/>
    <n v="0.6833055555555555"/>
    <n v="3.3196759259259259E-2"/>
  </r>
  <r>
    <s v="TICKET-1056"/>
    <d v="1899-12-30T00:52:13"/>
    <d v="1899-12-30T00:28:34"/>
    <x v="0"/>
    <x v="3"/>
    <s v="Through culture similar finally. Oil world money about fine street small."/>
    <x v="1"/>
    <s v="Saturday"/>
    <s v="Jan-1900"/>
    <n v="0"/>
    <n v="-1.642592592592592E-2"/>
    <n v="-0.39422222222222209"/>
    <n v="1.9832175925925927E-2"/>
  </r>
  <r>
    <s v="TICKET-1057"/>
    <d v="1899-12-30T00:29:35"/>
    <d v="1899-12-30T00:48:58"/>
    <x v="5"/>
    <x v="6"/>
    <s v="Weight go sort sign law response since. Sister other actually Mrs fight everything get."/>
    <x v="2"/>
    <s v="Saturday"/>
    <s v="Jan-1900"/>
    <n v="0"/>
    <n v="1.3460648148148145E-2"/>
    <n v="0.32305555555555548"/>
    <n v="3.3999999999999996E-2"/>
  </r>
  <r>
    <s v="TICKET-1058"/>
    <d v="1899-12-30T00:42:51"/>
    <d v="1899-12-30T00:16:37"/>
    <x v="0"/>
    <x v="6"/>
    <s v="Particular ask company nearly exist exactly friend."/>
    <x v="1"/>
    <s v="Saturday"/>
    <s v="Jan-1900"/>
    <n v="0"/>
    <n v="-1.8214120370370367E-2"/>
    <n v="-0.4371388888888888"/>
    <n v="1.1539351851851851E-2"/>
  </r>
  <r>
    <s v="TICKET-1059"/>
    <d v="1899-12-30T00:37:43"/>
    <d v="1899-12-30T00:17:59"/>
    <x v="1"/>
    <x v="5"/>
    <s v="Application X is crashing every time I open it. Skin subject purpose baby training."/>
    <x v="1"/>
    <s v="Saturday"/>
    <s v="Jan-1900"/>
    <n v="0"/>
    <n v="-1.3708333333333335E-2"/>
    <n v="-0.32900000000000001"/>
    <n v="1.2488425925925925E-2"/>
  </r>
  <r>
    <s v="TICKET-1060"/>
    <d v="1899-12-30T00:05:38"/>
    <d v="1899-12-30T00:49:50"/>
    <x v="2"/>
    <x v="3"/>
    <s v="My laptop's keyboard isn't working properly, some keys are stuck. Than none office improve."/>
    <x v="1"/>
    <s v="Saturday"/>
    <s v="Jan-1900"/>
    <n v="0"/>
    <n v="3.069675925925926E-2"/>
    <n v="0.73672222222222228"/>
    <n v="3.4608796296296297E-2"/>
  </r>
  <r>
    <s v="TICKET-1061"/>
    <d v="1899-12-30T00:19:38"/>
    <d v="1899-12-30T00:03:29"/>
    <x v="1"/>
    <x v="0"/>
    <s v="Application X is crashing every time I open it. With because article scene father black."/>
    <x v="1"/>
    <s v="Saturday"/>
    <s v="Jan-1900"/>
    <n v="0"/>
    <n v="-1.1216435185185185E-2"/>
    <n v="-0.26919444444444446"/>
    <n v="2.421296296296296E-3"/>
  </r>
  <r>
    <s v="TICKET-1062"/>
    <d v="1899-12-30T00:39:40"/>
    <d v="1899-12-30T00:21:43"/>
    <x v="1"/>
    <x v="7"/>
    <s v="Application X is crashing every time I open it. Food pass energy fund need read anything."/>
    <x v="1"/>
    <s v="Saturday"/>
    <s v="Jan-1900"/>
    <n v="0"/>
    <n v="-1.2472222222222223E-2"/>
    <n v="-0.29933333333333334"/>
    <n v="1.5076388888888887E-2"/>
  </r>
  <r>
    <s v="TICKET-1063"/>
    <d v="1899-12-30T00:57:09"/>
    <d v="1899-12-30T00:55:37"/>
    <x v="3"/>
    <x v="7"/>
    <s v="I'm locked out of my account and can't reset my password. Agreement news significant cultural agree."/>
    <x v="0"/>
    <s v="Saturday"/>
    <s v="Jan-1900"/>
    <n v="0"/>
    <n v="-1.0682870370370412E-3"/>
    <n v="-2.5638888888888989E-2"/>
    <n v="3.8618055555555551E-2"/>
  </r>
  <r>
    <s v="TICKET-1064"/>
    <d v="1899-12-30T00:58:12"/>
    <d v="1899-12-30T00:01:56"/>
    <x v="3"/>
    <x v="4"/>
    <s v="I'm locked out of my account and can't reset my password. Especially under always tend teacher build."/>
    <x v="1"/>
    <s v="Saturday"/>
    <s v="Jan-1900"/>
    <n v="0"/>
    <n v="-3.9083333333333338E-2"/>
    <n v="-0.93800000000000017"/>
    <n v="1.3368055555555555E-3"/>
  </r>
  <r>
    <s v="TICKET-1065"/>
    <d v="1899-12-30T00:11:15"/>
    <d v="1899-12-30T00:55:36"/>
    <x v="4"/>
    <x v="0"/>
    <s v="Can't connect to the Wi-Fi. It's showing 'No internet access'. Child as debate economy."/>
    <x v="1"/>
    <s v="Saturday"/>
    <s v="Jan-1900"/>
    <n v="0"/>
    <n v="3.0795138888888889E-2"/>
    <n v="0.73908333333333331"/>
    <n v="3.8613425925925926E-2"/>
  </r>
  <r>
    <s v="TICKET-1066"/>
    <d v="1899-12-30T00:21:58"/>
    <d v="1899-12-30T00:05:28"/>
    <x v="2"/>
    <x v="2"/>
    <s v="My laptop's keyboard isn't working properly, some keys are stuck. Someone poor mission fill free."/>
    <x v="2"/>
    <s v="Saturday"/>
    <s v="Jan-1900"/>
    <n v="0"/>
    <n v="-1.1450231481481481E-2"/>
    <n v="-0.27480555555555553"/>
    <n v="3.7997685185185187E-3"/>
  </r>
  <r>
    <s v="TICKET-1067"/>
    <d v="1899-12-30T00:18:19"/>
    <d v="1899-12-30T00:03:00"/>
    <x v="4"/>
    <x v="7"/>
    <s v="Can't connect to the Wi-Fi. It's showing 'No internet access'. Represent safe scene wall dog."/>
    <x v="1"/>
    <s v="Saturday"/>
    <s v="Jan-1900"/>
    <n v="0"/>
    <n v="-1.0631944444444446E-2"/>
    <n v="-0.25516666666666671"/>
    <n v="2.0868055555555557E-3"/>
  </r>
  <r>
    <s v="TICKET-1068"/>
    <d v="1899-12-30T00:46:50"/>
    <d v="1899-12-30T00:16:59"/>
    <x v="1"/>
    <x v="5"/>
    <s v="Application X is crashing every time I open it. Claim success those baby."/>
    <x v="2"/>
    <s v="Saturday"/>
    <s v="Jan-1900"/>
    <n v="0"/>
    <n v="-2.0718749999999998E-2"/>
    <n v="-0.49724999999999997"/>
    <n v="1.179861111111111E-2"/>
  </r>
  <r>
    <s v="TICKET-1069"/>
    <d v="1899-12-30T00:30:29"/>
    <d v="1899-12-30T00:37:01"/>
    <x v="1"/>
    <x v="4"/>
    <s v="Application X is crashing every time I open it. Term lot their. Dark itself deal race Democrat."/>
    <x v="1"/>
    <s v="Saturday"/>
    <s v="Jan-1900"/>
    <n v="0"/>
    <n v="4.5393518518518569E-3"/>
    <n v="0.10894444444444457"/>
    <n v="2.5709490740740745E-2"/>
  </r>
  <r>
    <s v="TICKET-1070"/>
    <d v="1899-12-30T00:58:21"/>
    <d v="1899-12-30T00:11:24"/>
    <x v="2"/>
    <x v="7"/>
    <s v="My laptop's keyboard isn't working properly, some keys are stuck. Bad past glass strategy. Above skin station."/>
    <x v="3"/>
    <s v="Saturday"/>
    <s v="Jan-1900"/>
    <n v="0"/>
    <n v="-3.2605324074074071E-2"/>
    <n v="-0.78252777777777771"/>
    <n v="7.9120370370370369E-3"/>
  </r>
  <r>
    <s v="TICKET-1071"/>
    <d v="1899-12-30T00:55:27"/>
    <d v="1899-12-30T00:58:26"/>
    <x v="1"/>
    <x v="2"/>
    <s v="Application X is crashing every time I open it. Tv control generation away public remain."/>
    <x v="1"/>
    <s v="Saturday"/>
    <s v="Jan-1900"/>
    <n v="0"/>
    <n v="2.0729166666666604E-3"/>
    <n v="4.974999999999985E-2"/>
    <n v="4.0575231481481476E-2"/>
  </r>
  <r>
    <s v="TICKET-1072"/>
    <d v="1899-12-30T00:42:24"/>
    <d v="1899-12-30T00:32:31"/>
    <x v="4"/>
    <x v="7"/>
    <s v="Can't connect to the Wi-Fi. It's showing 'No internet access'. Alone skill foot benefit."/>
    <x v="1"/>
    <s v="Saturday"/>
    <s v="Jan-1900"/>
    <n v="0"/>
    <n v="-6.8622685185185141E-3"/>
    <n v="-0.16469444444444434"/>
    <n v="2.2584490740740742E-2"/>
  </r>
  <r>
    <s v="TICKET-1073"/>
    <d v="1899-12-30T00:34:13"/>
    <d v="1899-12-30T00:40:49"/>
    <x v="0"/>
    <x v="8"/>
    <s v="Media respond them indicate. Up movie television stop. Garden ten city already close."/>
    <x v="0"/>
    <s v="Saturday"/>
    <s v="Jan-1900"/>
    <n v="0"/>
    <n v="4.5752314814814787E-3"/>
    <n v="0.10980555555555549"/>
    <n v="2.8341435185185185E-2"/>
  </r>
  <r>
    <s v="TICKET-1074"/>
    <d v="1899-12-30T00:17:56"/>
    <d v="1899-12-30T00:19:46"/>
    <x v="5"/>
    <x v="1"/>
    <s v="Lay support mouth control understand could. Husband for evening upon involve."/>
    <x v="2"/>
    <s v="Saturday"/>
    <s v="Jan-1900"/>
    <n v="0"/>
    <n v="1.2719907407407385E-3"/>
    <n v="3.0527777777777723E-2"/>
    <n v="1.3730324074074074E-2"/>
  </r>
  <r>
    <s v="TICKET-1075"/>
    <d v="1899-12-30T00:48:14"/>
    <d v="1899-12-30T00:40:58"/>
    <x v="0"/>
    <x v="7"/>
    <s v="Company month civil season include. Onto life for both little."/>
    <x v="0"/>
    <s v="Saturday"/>
    <s v="Jan-1900"/>
    <n v="0"/>
    <n v="-5.0497685185185194E-3"/>
    <n v="-0.12119444444444447"/>
    <n v="2.8449074074074075E-2"/>
  </r>
  <r>
    <s v="TICKET-1076"/>
    <d v="1899-12-30T00:31:23"/>
    <d v="1899-12-30T00:11:12"/>
    <x v="1"/>
    <x v="1"/>
    <s v="Application X is crashing every time I open it. Candidate push mind exactly feel."/>
    <x v="0"/>
    <s v="Saturday"/>
    <s v="Jan-1900"/>
    <n v="0"/>
    <n v="-1.4017361111111112E-2"/>
    <n v="-0.3364166666666667"/>
    <n v="7.7812499999999991E-3"/>
  </r>
  <r>
    <s v="TICKET-1077"/>
    <d v="1899-12-30T00:42:38"/>
    <d v="1899-12-30T00:40:18"/>
    <x v="5"/>
    <x v="5"/>
    <s v="Writer city suffer within important recently difference. Wait only relationship free."/>
    <x v="0"/>
    <s v="Saturday"/>
    <s v="Jan-1900"/>
    <n v="0"/>
    <n v="-1.6180555555555566E-3"/>
    <n v="-3.8833333333333359E-2"/>
    <n v="2.7986111111111111E-2"/>
  </r>
  <r>
    <s v="TICKET-1078"/>
    <d v="1899-12-30T00:59:04"/>
    <d v="1899-12-30T00:29:43"/>
    <x v="1"/>
    <x v="1"/>
    <s v="Application X is crashing every time I open it. Form customer bill interest remember which."/>
    <x v="2"/>
    <s v="Saturday"/>
    <s v="Jan-1900"/>
    <n v="0"/>
    <n v="-2.0381944444444442E-2"/>
    <n v="-0.48916666666666664"/>
    <n v="2.0631944444444442E-2"/>
  </r>
  <r>
    <s v="TICKET-1079"/>
    <d v="1899-12-30T00:58:35"/>
    <d v="1899-12-30T00:08:25"/>
    <x v="4"/>
    <x v="1"/>
    <s v="Can't connect to the Wi-Fi. It's showing 'No internet access'. Agree begin guess ask choice low themselves born."/>
    <x v="2"/>
    <s v="Saturday"/>
    <s v="Jan-1900"/>
    <n v="0"/>
    <n v="-3.483564814814815E-2"/>
    <n v="-0.83605555555555555"/>
    <n v="5.8414351851851848E-3"/>
  </r>
  <r>
    <s v="TICKET-1080"/>
    <d v="1899-12-30T00:43:35"/>
    <d v="1899-12-30T00:32:38"/>
    <x v="1"/>
    <x v="6"/>
    <s v="Application X is crashing every time I open it. Center worry nor whole."/>
    <x v="2"/>
    <s v="Saturday"/>
    <s v="Jan-1900"/>
    <n v="0"/>
    <n v="-7.5972222222222205E-3"/>
    <n v="-0.18233333333333329"/>
    <n v="2.266550925925926E-2"/>
  </r>
  <r>
    <s v="TICKET-1081"/>
    <d v="1899-12-30T00:50:45"/>
    <d v="1899-12-30T00:00:38"/>
    <x v="3"/>
    <x v="3"/>
    <s v="I'm locked out of my account and can't reset my password. Miss son responsibility hour."/>
    <x v="2"/>
    <s v="Saturday"/>
    <s v="Jan-1900"/>
    <n v="0"/>
    <n v="-3.4806712962962963E-2"/>
    <n v="-0.83536111111111111"/>
    <n v="4.3518518518518521E-4"/>
  </r>
  <r>
    <s v="TICKET-1082"/>
    <d v="1899-12-30T00:17:27"/>
    <d v="1899-12-30T00:21:18"/>
    <x v="1"/>
    <x v="1"/>
    <s v="Application X is crashing every time I open it. Develop course foreign no either."/>
    <x v="1"/>
    <s v="Saturday"/>
    <s v="Jan-1900"/>
    <n v="0"/>
    <n v="2.6678240740740742E-3"/>
    <n v="6.4027777777777781E-2"/>
    <n v="1.4788194444444446E-2"/>
  </r>
  <r>
    <s v="TICKET-1083"/>
    <d v="1899-12-30T00:49:12"/>
    <d v="1899-12-30T00:26:15"/>
    <x v="6"/>
    <x v="4"/>
    <s v="Public husband return country service very. Be exactly time firm yard price bad."/>
    <x v="2"/>
    <s v="Saturday"/>
    <s v="Jan-1900"/>
    <n v="0"/>
    <n v="-1.5931712962962967E-2"/>
    <n v="-0.38236111111111121"/>
    <n v="1.8233796296296297E-2"/>
  </r>
  <r>
    <s v="TICKET-1084"/>
    <d v="1899-12-30T00:09:04"/>
    <d v="1899-12-30T00:20:43"/>
    <x v="2"/>
    <x v="9"/>
    <s v="My laptop's keyboard isn't working properly, some keys are stuck. Perform author more owner girl message."/>
    <x v="2"/>
    <s v="Saturday"/>
    <s v="Jan-1900"/>
    <n v="0"/>
    <n v="8.0925925925925922E-3"/>
    <n v="0.19422222222222221"/>
    <n v="1.4388888888888889E-2"/>
  </r>
  <r>
    <s v="TICKET-1085"/>
    <d v="1899-12-30T00:23:34"/>
    <d v="1899-12-30T00:08:10"/>
    <x v="3"/>
    <x v="5"/>
    <s v="I'm locked out of my account and can't reset my password. Church stop environment."/>
    <x v="0"/>
    <s v="Saturday"/>
    <s v="Jan-1900"/>
    <n v="0"/>
    <n v="-1.0687500000000001E-2"/>
    <n v="-0.25650000000000001"/>
    <n v="5.6747685185185182E-3"/>
  </r>
  <r>
    <s v="TICKET-1086"/>
    <d v="1899-12-30T00:18:40"/>
    <d v="1899-12-30T00:37:11"/>
    <x v="1"/>
    <x v="7"/>
    <s v="Application X is crashing every time I open it. Everyone body modern feeling shake loss."/>
    <x v="1"/>
    <s v="Saturday"/>
    <s v="Jan-1900"/>
    <n v="0"/>
    <n v="1.2862268518518521E-2"/>
    <n v="0.30869444444444449"/>
    <n v="2.5819444444444447E-2"/>
  </r>
  <r>
    <s v="TICKET-1087"/>
    <d v="1899-12-30T00:11:23"/>
    <d v="1899-12-30T00:12:02"/>
    <x v="2"/>
    <x v="2"/>
    <s v="My laptop's keyboard isn't working properly, some keys are stuck. Whole material thus despite firm more."/>
    <x v="1"/>
    <s v="Saturday"/>
    <s v="Jan-1900"/>
    <n v="0"/>
    <n v="4.5486111111111074E-4"/>
    <n v="1.0916666666666658E-2"/>
    <n v="8.3564814814814821E-3"/>
  </r>
  <r>
    <s v="TICKET-1088"/>
    <d v="1899-12-30T00:58:40"/>
    <d v="1899-12-30T00:31:59"/>
    <x v="1"/>
    <x v="5"/>
    <s v="Application X is crashing every time I open it. Until statement century seat vote never."/>
    <x v="1"/>
    <s v="Saturday"/>
    <s v="Jan-1900"/>
    <n v="0"/>
    <n v="-1.8535879629629628E-2"/>
    <n v="-0.44486111111111104"/>
    <n v="2.2209490740740741E-2"/>
  </r>
  <r>
    <s v="TICKET-1089"/>
    <d v="1899-12-30T00:20:46"/>
    <d v="1899-12-30T00:21:32"/>
    <x v="1"/>
    <x v="5"/>
    <s v="Application X is crashing every time I open it. Big season the."/>
    <x v="2"/>
    <s v="Saturday"/>
    <s v="Jan-1900"/>
    <n v="0"/>
    <n v="5.3124999999999874E-4"/>
    <n v="1.274999999999997E-2"/>
    <n v="1.4957175925925926E-2"/>
  </r>
  <r>
    <s v="TICKET-1090"/>
    <d v="1899-12-30T00:04:37"/>
    <d v="1899-12-30T00:22:20"/>
    <x v="1"/>
    <x v="0"/>
    <s v="Application X is crashing every time I open it. Usually career attention realize."/>
    <x v="1"/>
    <s v="Saturday"/>
    <s v="Jan-1900"/>
    <n v="0"/>
    <n v="1.2304398148148148E-2"/>
    <n v="0.29530555555555554"/>
    <n v="1.5510416666666665E-2"/>
  </r>
  <r>
    <s v="TICKET-1091"/>
    <d v="1899-12-30T00:36:43"/>
    <d v="1899-12-30T00:09:01"/>
    <x v="1"/>
    <x v="5"/>
    <s v="Application X is crashing every time I open it. Firm tonight statement feel Mrs music."/>
    <x v="2"/>
    <s v="Saturday"/>
    <s v="Jan-1900"/>
    <n v="0"/>
    <n v="-1.9243055555555558E-2"/>
    <n v="-0.46183333333333343"/>
    <n v="6.2581018518518524E-3"/>
  </r>
  <r>
    <s v="TICKET-1092"/>
    <d v="1899-12-30T00:26:10"/>
    <d v="1899-12-30T00:49:37"/>
    <x v="4"/>
    <x v="3"/>
    <s v="Can't connect to the Wi-Fi. It's showing 'No internet access'. Life change act. Through imagine again whole."/>
    <x v="1"/>
    <s v="Saturday"/>
    <s v="Jan-1900"/>
    <n v="0"/>
    <n v="1.6291666666666666E-2"/>
    <n v="0.39100000000000001"/>
    <n v="3.4459490740740742E-2"/>
  </r>
  <r>
    <s v="TICKET-1093"/>
    <d v="1899-12-30T00:27:43"/>
    <d v="1899-12-30T00:08:52"/>
    <x v="0"/>
    <x v="3"/>
    <s v="Including development attack wide. Concern his environment attack program rest team."/>
    <x v="2"/>
    <s v="Saturday"/>
    <s v="Jan-1900"/>
    <n v="0"/>
    <n v="-1.3096064814814814E-2"/>
    <n v="-0.3143055555555555"/>
    <n v="6.1539351851851859E-3"/>
  </r>
  <r>
    <s v="TICKET-1094"/>
    <d v="1899-12-30T00:06:41"/>
    <d v="1899-12-30T00:43:15"/>
    <x v="3"/>
    <x v="7"/>
    <s v="I'm locked out of my account and can't reset my password. Another collection another many."/>
    <x v="2"/>
    <s v="Saturday"/>
    <s v="Jan-1900"/>
    <n v="0"/>
    <n v="2.5385416666666667E-2"/>
    <n v="0.60925000000000007"/>
    <n v="3.0028935185185186E-2"/>
  </r>
  <r>
    <s v="TICKET-1095"/>
    <d v="1899-12-30T00:47:29"/>
    <d v="1899-12-30T00:49:20"/>
    <x v="0"/>
    <x v="0"/>
    <s v="Compare or at environmental. Six what them fall. Husband certain institution phone resource blood."/>
    <x v="1"/>
    <s v="Saturday"/>
    <s v="Jan-1900"/>
    <n v="0"/>
    <n v="1.2928240740740712E-3"/>
    <n v="3.102777777777771E-2"/>
    <n v="3.4261574074074069E-2"/>
  </r>
  <r>
    <s v="TICKET-1096"/>
    <d v="1899-12-30T00:49:45"/>
    <d v="1899-12-30T00:34:20"/>
    <x v="3"/>
    <x v="4"/>
    <s v="I'm locked out of my account and can't reset my password. Medical let door front. Law end always."/>
    <x v="2"/>
    <s v="Saturday"/>
    <s v="Jan-1900"/>
    <n v="0"/>
    <n v="-1.0708333333333334E-2"/>
    <n v="-0.25700000000000001"/>
    <n v="2.3837962962962964E-2"/>
  </r>
  <r>
    <s v="TICKET-1097"/>
    <d v="1899-12-30T00:16:19"/>
    <d v="1899-12-30T00:28:59"/>
    <x v="2"/>
    <x v="5"/>
    <s v="My laptop's keyboard isn't working properly, some keys are stuck. Rich fire power city. Water career next relate."/>
    <x v="2"/>
    <s v="Saturday"/>
    <s v="Jan-1900"/>
    <n v="0"/>
    <n v="8.788194444444444E-3"/>
    <n v="0.21091666666666664"/>
    <n v="2.0122685185185184E-2"/>
  </r>
  <r>
    <s v="TICKET-1098"/>
    <d v="1899-12-30T00:22:48"/>
    <d v="1899-12-30T00:26:30"/>
    <x v="1"/>
    <x v="1"/>
    <s v="Application X is crashing every time I open it. Result happy song want finish stuff."/>
    <x v="0"/>
    <s v="Saturday"/>
    <s v="Jan-1900"/>
    <n v="0"/>
    <n v="2.5694444444444471E-3"/>
    <n v="6.1666666666666731E-2"/>
    <n v="1.8405092592592594E-2"/>
  </r>
  <r>
    <s v="TICKET-1099"/>
    <d v="1899-12-30T00:15:23"/>
    <d v="1899-12-30T00:04:04"/>
    <x v="2"/>
    <x v="4"/>
    <s v="My laptop's keyboard isn't working properly, some keys are stuck. Themselves big matter happy small."/>
    <x v="1"/>
    <s v="Saturday"/>
    <s v="Jan-1900"/>
    <n v="0"/>
    <n v="-7.8611111111111104E-3"/>
    <n v="-0.18866666666666665"/>
    <n v="2.8263888888888887E-3"/>
  </r>
  <r>
    <s v="TICKET-1100"/>
    <d v="1899-12-30T00:13:44"/>
    <d v="1899-12-30T00:17:50"/>
    <x v="1"/>
    <x v="5"/>
    <s v="Application X is crashing every time I open it. Agent will respond help."/>
    <x v="3"/>
    <s v="Saturday"/>
    <s v="Jan-1900"/>
    <n v="0"/>
    <n v="2.8553240740740726E-3"/>
    <n v="6.8527777777777743E-2"/>
    <n v="1.238773148148148E-2"/>
  </r>
  <r>
    <s v="TICKET-1101"/>
    <d v="1899-12-30T00:55:11"/>
    <d v="1899-12-30T00:31:30"/>
    <x v="1"/>
    <x v="7"/>
    <s v="Application X is crashing every time I open it. Short commercial everybody difficult change."/>
    <x v="1"/>
    <s v="Saturday"/>
    <s v="Jan-1900"/>
    <n v="0"/>
    <n v="-1.6444444444444446E-2"/>
    <n v="-0.39466666666666672"/>
    <n v="2.1872685185185186E-2"/>
  </r>
  <r>
    <s v="TICKET-1102"/>
    <d v="1899-12-30T00:49:20"/>
    <d v="1899-12-30T00:20:43"/>
    <x v="0"/>
    <x v="5"/>
    <s v="Any today within none hot again green. Remember attack event view father."/>
    <x v="2"/>
    <s v="Saturday"/>
    <s v="Jan-1900"/>
    <n v="0"/>
    <n v="-1.987152777777778E-2"/>
    <n v="-0.47691666666666671"/>
    <n v="1.4388888888888889E-2"/>
  </r>
  <r>
    <s v="TICKET-1103"/>
    <d v="1899-12-30T00:36:03"/>
    <d v="1899-12-30T00:59:45"/>
    <x v="1"/>
    <x v="9"/>
    <s v="Application X is crashing every time I open it. Represent senior his finish include nothing."/>
    <x v="1"/>
    <s v="Saturday"/>
    <s v="Jan-1900"/>
    <n v="0"/>
    <n v="1.6460648148148144E-2"/>
    <n v="0.39505555555555549"/>
    <n v="4.1493055555555554E-2"/>
  </r>
  <r>
    <s v="TICKET-1104"/>
    <d v="1899-12-30T00:19:01"/>
    <d v="1899-12-30T00:36:27"/>
    <x v="6"/>
    <x v="9"/>
    <s v="She certain boy build. Test bag country president environment."/>
    <x v="0"/>
    <s v="Saturday"/>
    <s v="Jan-1900"/>
    <n v="0"/>
    <n v="1.2106481481481485E-2"/>
    <n v="0.29055555555555568"/>
    <n v="2.5315972222222226E-2"/>
  </r>
  <r>
    <s v="TICKET-1105"/>
    <d v="1899-12-30T00:45:06"/>
    <d v="1899-12-30T00:41:24"/>
    <x v="4"/>
    <x v="8"/>
    <s v="Can't connect to the Wi-Fi. It's showing 'No internet access'. Hair job save son."/>
    <x v="2"/>
    <s v="Saturday"/>
    <s v="Jan-1900"/>
    <n v="0"/>
    <n v="-2.5763888888888885E-3"/>
    <n v="-6.1833333333333323E-2"/>
    <n v="2.8745370370370369E-2"/>
  </r>
  <r>
    <s v="TICKET-1106"/>
    <d v="1899-12-30T00:18:02"/>
    <d v="1899-12-30T00:29:37"/>
    <x v="6"/>
    <x v="2"/>
    <s v="Growth middle establish public."/>
    <x v="1"/>
    <s v="Saturday"/>
    <s v="Jan-1900"/>
    <n v="0"/>
    <n v="8.0532407407407393E-3"/>
    <n v="0.19327777777777774"/>
    <n v="2.0572916666666666E-2"/>
  </r>
  <r>
    <s v="TICKET-1107"/>
    <d v="1899-12-30T00:54:12"/>
    <d v="1899-12-30T00:11:11"/>
    <x v="2"/>
    <x v="1"/>
    <s v="My laptop's keyboard isn't working properly, some keys are stuck. Produce require line letter listen often."/>
    <x v="2"/>
    <s v="Saturday"/>
    <s v="Jan-1900"/>
    <n v="0"/>
    <n v="-2.9866898148148149E-2"/>
    <n v="-0.71680555555555558"/>
    <n v="7.7708333333333327E-3"/>
  </r>
  <r>
    <s v="TICKET-1108"/>
    <d v="1899-12-30T00:57:35"/>
    <d v="1899-12-30T00:56:19"/>
    <x v="2"/>
    <x v="2"/>
    <s v="My laptop's keyboard isn't working properly, some keys are stuck. At bag continue."/>
    <x v="0"/>
    <s v="Saturday"/>
    <s v="Jan-1900"/>
    <n v="0"/>
    <n v="-8.8310185185185019E-4"/>
    <n v="-2.1194444444444405E-2"/>
    <n v="3.911111111111111E-2"/>
  </r>
  <r>
    <s v="TICKET-1109"/>
    <d v="1899-12-30T00:24:13"/>
    <d v="1899-12-30T00:24:35"/>
    <x v="1"/>
    <x v="2"/>
    <s v="Application X is crashing every time I open it. Without pass book tend."/>
    <x v="2"/>
    <s v="Saturday"/>
    <s v="Jan-1900"/>
    <n v="0"/>
    <n v="2.6041666666666574E-4"/>
    <n v="6.2499999999999778E-3"/>
    <n v="1.7074074074074075E-2"/>
  </r>
  <r>
    <s v="TICKET-1110"/>
    <d v="1899-12-30T00:56:24"/>
    <d v="1899-12-30T00:35:51"/>
    <x v="3"/>
    <x v="7"/>
    <s v="I'm locked out of my account and can't reset my password. Right where add."/>
    <x v="0"/>
    <s v="Saturday"/>
    <s v="Jan-1900"/>
    <n v="0"/>
    <n v="-1.4261574074074072E-2"/>
    <n v="-0.34227777777777774"/>
    <n v="2.4899305555555556E-2"/>
  </r>
  <r>
    <s v="TICKET-1111"/>
    <d v="1899-12-30T00:29:55"/>
    <d v="1899-12-30T00:40:12"/>
    <x v="1"/>
    <x v="2"/>
    <s v="Application X is crashing every time I open it. Argue team senior low training."/>
    <x v="2"/>
    <s v="Saturday"/>
    <s v="Jan-1900"/>
    <n v="0"/>
    <n v="7.1469907407407419E-3"/>
    <n v="0.17152777777777781"/>
    <n v="2.7917824074074074E-2"/>
  </r>
  <r>
    <s v="TICKET-1112"/>
    <d v="1899-12-30T00:02:11"/>
    <d v="1899-12-30T00:40:56"/>
    <x v="5"/>
    <x v="1"/>
    <s v="Plant attack should. Drive international today. Pretty statement her upon nation."/>
    <x v="2"/>
    <s v="Saturday"/>
    <s v="Jan-1900"/>
    <n v="0"/>
    <n v="2.6903935185185184E-2"/>
    <n v="0.64569444444444435"/>
    <n v="2.8421296296296295E-2"/>
  </r>
  <r>
    <s v="TICKET-1113"/>
    <d v="1899-12-30T00:19:48"/>
    <d v="1899-12-30T00:31:35"/>
    <x v="2"/>
    <x v="3"/>
    <s v="My laptop's keyboard isn't working properly, some keys are stuck. Chance place build body population."/>
    <x v="0"/>
    <s v="Saturday"/>
    <s v="Jan-1900"/>
    <n v="0"/>
    <n v="8.1828703703703716E-3"/>
    <n v="0.19638888888888892"/>
    <n v="2.1934027777777778E-2"/>
  </r>
  <r>
    <s v="TICKET-1114"/>
    <d v="1899-12-30T00:39:15"/>
    <d v="1899-12-30T00:07:28"/>
    <x v="0"/>
    <x v="4"/>
    <s v="Something million activity. Interview under cover career under. Can address show public."/>
    <x v="1"/>
    <s v="Saturday"/>
    <s v="Jan-1900"/>
    <n v="0"/>
    <n v="-2.2071759259259256E-2"/>
    <n v="-0.52972222222222221"/>
    <n v="5.1863425925925931E-3"/>
  </r>
  <r>
    <s v="TICKET-1115"/>
    <d v="1899-12-30T00:02:17"/>
    <d v="1899-12-30T00:50:48"/>
    <x v="3"/>
    <x v="9"/>
    <s v="I'm locked out of my account and can't reset my password. Receive nature option oil read trouble."/>
    <x v="2"/>
    <s v="Saturday"/>
    <s v="Jan-1900"/>
    <n v="0"/>
    <n v="3.3693287037037035E-2"/>
    <n v="0.80863888888888891"/>
    <n v="3.5277777777777776E-2"/>
  </r>
  <r>
    <s v="TICKET-1116"/>
    <d v="1899-12-30T00:29:18"/>
    <d v="1899-12-30T00:50:20"/>
    <x v="1"/>
    <x v="2"/>
    <s v="Application X is crashing every time I open it. Toward ago director condition food share meet."/>
    <x v="1"/>
    <s v="Saturday"/>
    <s v="Jan-1900"/>
    <n v="0"/>
    <n v="1.4609953703703705E-2"/>
    <n v="0.35063888888888894"/>
    <n v="3.4958333333333334E-2"/>
  </r>
  <r>
    <s v="TICKET-1117"/>
    <d v="1899-12-30T00:40:04"/>
    <d v="1899-12-30T00:18:46"/>
    <x v="3"/>
    <x v="8"/>
    <s v="I'm locked out of my account and can't reset my password. For we when drive. Start identify now throw."/>
    <x v="1"/>
    <s v="Saturday"/>
    <s v="Jan-1900"/>
    <n v="0"/>
    <n v="-1.4783564814814814E-2"/>
    <n v="-0.35480555555555554"/>
    <n v="1.3034722222222224E-2"/>
  </r>
  <r>
    <s v="TICKET-1118"/>
    <d v="1899-12-30T00:42:23"/>
    <d v="1899-12-30T00:59:57"/>
    <x v="6"/>
    <x v="5"/>
    <s v="Even focus animal civil quality lay skill. Need maybe former return."/>
    <x v="2"/>
    <s v="Saturday"/>
    <s v="Jan-1900"/>
    <n v="0"/>
    <n v="1.220138888888889E-2"/>
    <n v="0.29283333333333339"/>
    <n v="4.1630787037037036E-2"/>
  </r>
  <r>
    <s v="TICKET-1119"/>
    <d v="1899-12-30T00:15:34"/>
    <d v="1899-12-30T00:05:17"/>
    <x v="2"/>
    <x v="1"/>
    <s v="My laptop's keyboard isn't working properly, some keys are stuck. Cup money work certainly color."/>
    <x v="1"/>
    <s v="Saturday"/>
    <s v="Jan-1900"/>
    <n v="0"/>
    <n v="-7.1481481481481483E-3"/>
    <n v="-0.17155555555555557"/>
    <n v="3.6666666666666666E-3"/>
  </r>
  <r>
    <s v="TICKET-1120"/>
    <d v="1899-12-30T00:02:22"/>
    <d v="1899-12-30T00:25:23"/>
    <x v="0"/>
    <x v="4"/>
    <s v="Clear late win beat. Those arm say year him science door."/>
    <x v="1"/>
    <s v="Saturday"/>
    <s v="Jan-1900"/>
    <n v="0"/>
    <n v="1.5994212962962964E-2"/>
    <n v="0.3838611111111111"/>
    <n v="1.7631944444444447E-2"/>
  </r>
  <r>
    <s v="TICKET-1121"/>
    <d v="1899-12-30T00:08:30"/>
    <d v="1899-12-30T00:31:43"/>
    <x v="3"/>
    <x v="7"/>
    <s v="I'm locked out of my account and can't reset my password. Purpose almost nature create authority company."/>
    <x v="1"/>
    <s v="Saturday"/>
    <s v="Jan-1900"/>
    <n v="0"/>
    <n v="1.6127314814814817E-2"/>
    <n v="0.3870555555555556"/>
    <n v="2.2027777777777778E-2"/>
  </r>
  <r>
    <s v="TICKET-1122"/>
    <d v="1899-12-30T00:50:17"/>
    <d v="1899-12-30T00:24:48"/>
    <x v="1"/>
    <x v="0"/>
    <s v="Application X is crashing every time I open it. Garden better chance impact where how member."/>
    <x v="1"/>
    <s v="Saturday"/>
    <s v="Jan-1900"/>
    <n v="0"/>
    <n v="-1.7699074074074072E-2"/>
    <n v="-0.4247777777777777"/>
    <n v="1.7216435185185185E-2"/>
  </r>
  <r>
    <s v="TICKET-1123"/>
    <d v="1899-12-30T00:11:31"/>
    <d v="1899-12-30T00:06:33"/>
    <x v="4"/>
    <x v="1"/>
    <s v="Can't connect to the Wi-Fi. It's showing 'No internet access'. Bag without else red. Able year decision others."/>
    <x v="1"/>
    <s v="Saturday"/>
    <s v="Jan-1900"/>
    <n v="0"/>
    <n v="-3.4525462962962973E-3"/>
    <n v="-8.2861111111111135E-2"/>
    <n v="4.5451388888888885E-3"/>
  </r>
  <r>
    <s v="TICKET-1124"/>
    <d v="1899-12-30T00:03:59"/>
    <d v="1899-12-30T00:46:33"/>
    <x v="6"/>
    <x v="9"/>
    <s v="Police machine star. Computer lead control across blue eye force. Parent set professor sit couple."/>
    <x v="1"/>
    <s v="Saturday"/>
    <s v="Jan-1900"/>
    <n v="0"/>
    <n v="2.9559027777777778E-2"/>
    <n v="0.7094166666666667"/>
    <n v="3.2322916666666666E-2"/>
  </r>
  <r>
    <s v="TICKET-1125"/>
    <d v="1899-12-30T00:27:58"/>
    <d v="1899-12-30T00:11:22"/>
    <x v="6"/>
    <x v="3"/>
    <s v="Group resource dinner knowledge scientist Mr. Police simply enter training too."/>
    <x v="1"/>
    <s v="Saturday"/>
    <s v="Jan-1900"/>
    <n v="0"/>
    <n v="-1.1519675925925926E-2"/>
    <n v="-0.27647222222222223"/>
    <n v="7.8958333333333346E-3"/>
  </r>
  <r>
    <s v="TICKET-1126"/>
    <d v="1899-12-30T00:22:43"/>
    <d v="1899-12-30T00:04:42"/>
    <x v="2"/>
    <x v="5"/>
    <s v="My laptop's keyboard isn't working properly, some keys are stuck. Go wear understand relate."/>
    <x v="2"/>
    <s v="Saturday"/>
    <s v="Jan-1900"/>
    <n v="0"/>
    <n v="-1.2505787037037039E-2"/>
    <n v="-0.30013888888888896"/>
    <n v="3.2662037037037035E-3"/>
  </r>
  <r>
    <s v="TICKET-1127"/>
    <d v="1899-12-30T00:23:19"/>
    <d v="1899-12-30T00:23:32"/>
    <x v="1"/>
    <x v="9"/>
    <s v="Application X is crashing every time I open it. Gas mother rate wind fight success medical."/>
    <x v="2"/>
    <s v="Saturday"/>
    <s v="Jan-1900"/>
    <n v="0"/>
    <n v="1.5046296296295988E-4"/>
    <n v="3.6111111111110372E-3"/>
    <n v="1.633796296296296E-2"/>
  </r>
  <r>
    <s v="TICKET-1128"/>
    <d v="1899-12-30T00:02:08"/>
    <d v="1899-12-30T00:18:37"/>
    <x v="4"/>
    <x v="2"/>
    <s v="Can't connect to the Wi-Fi. It's showing 'No internet access'. These entire million eat play sit."/>
    <x v="0"/>
    <s v="Saturday"/>
    <s v="Jan-1900"/>
    <n v="0"/>
    <n v="1.144097222222222E-2"/>
    <n v="0.27458333333333329"/>
    <n v="1.292361111111111E-2"/>
  </r>
  <r>
    <s v="TICKET-1129"/>
    <d v="1899-12-30T00:30:19"/>
    <d v="1899-12-30T00:09:05"/>
    <x v="0"/>
    <x v="1"/>
    <s v="Draw once season talk forward. Decision partner north realize finish one question."/>
    <x v="1"/>
    <s v="Saturday"/>
    <s v="Jan-1900"/>
    <n v="0"/>
    <n v="-1.4750000000000003E-2"/>
    <n v="-0.35400000000000009"/>
    <n v="6.3055555555555547E-3"/>
  </r>
  <r>
    <s v="TICKET-1130"/>
    <d v="1899-12-30T00:54:16"/>
    <d v="1899-12-30T00:37:10"/>
    <x v="6"/>
    <x v="6"/>
    <s v="Catch travel form bar pretty himself team. Light suffer evidence land ok may guy."/>
    <x v="2"/>
    <s v="Saturday"/>
    <s v="Jan-1900"/>
    <n v="0"/>
    <n v="-1.1877314814814813E-2"/>
    <n v="-0.28505555555555551"/>
    <n v="2.5810185185185186E-2"/>
  </r>
  <r>
    <s v="TICKET-1131"/>
    <d v="1899-12-30T00:29:53"/>
    <d v="1899-12-30T00:20:30"/>
    <x v="6"/>
    <x v="2"/>
    <s v="Act believe heavy watch best game part. Too language mean. Cut age personal resource."/>
    <x v="2"/>
    <s v="Saturday"/>
    <s v="Jan-1900"/>
    <n v="0"/>
    <n v="-6.5254629629629638E-3"/>
    <n v="-0.15661111111111115"/>
    <n v="1.4230324074074074E-2"/>
  </r>
  <r>
    <s v="TICKET-1132"/>
    <d v="1899-12-30T00:38:17"/>
    <d v="1899-12-30T00:05:49"/>
    <x v="0"/>
    <x v="7"/>
    <s v="Year name message voice data. Protect word up today. Break drop already life."/>
    <x v="2"/>
    <s v="Saturday"/>
    <s v="Jan-1900"/>
    <n v="0"/>
    <n v="-2.2549768518518518E-2"/>
    <n v="-0.54119444444444442"/>
    <n v="4.0381944444444441E-3"/>
  </r>
  <r>
    <s v="TICKET-1133"/>
    <d v="1899-12-30T00:07:14"/>
    <d v="1899-12-30T00:05:13"/>
    <x v="3"/>
    <x v="3"/>
    <s v="I'm locked out of my account and can't reset my password. Maintain tree story research hair why."/>
    <x v="0"/>
    <s v="Saturday"/>
    <s v="Jan-1900"/>
    <n v="0"/>
    <n v="-1.3946759259259264E-3"/>
    <n v="-3.3472222222222237E-2"/>
    <n v="3.6261574074074074E-3"/>
  </r>
  <r>
    <s v="TICKET-1134"/>
    <d v="1899-12-30T00:02:50"/>
    <d v="1899-12-30T00:38:38"/>
    <x v="0"/>
    <x v="5"/>
    <s v="Memory process group arm attack indicate mother. View three prepare by."/>
    <x v="2"/>
    <s v="Saturday"/>
    <s v="Jan-1900"/>
    <n v="0"/>
    <n v="2.4859953703703707E-2"/>
    <n v="0.59663888888888894"/>
    <n v="2.6826388888888893E-2"/>
  </r>
  <r>
    <s v="TICKET-1135"/>
    <d v="1899-12-30T00:57:14"/>
    <d v="1899-12-30T00:46:12"/>
    <x v="5"/>
    <x v="6"/>
    <s v="Foreign sign be money cup raise keep. Right scene market."/>
    <x v="2"/>
    <s v="Saturday"/>
    <s v="Jan-1900"/>
    <n v="0"/>
    <n v="-7.6539351851851872E-3"/>
    <n v="-0.18369444444444449"/>
    <n v="3.2086805555555556E-2"/>
  </r>
  <r>
    <s v="TICKET-1136"/>
    <d v="1899-12-30T00:50:13"/>
    <d v="1899-12-30T00:47:19"/>
    <x v="2"/>
    <x v="6"/>
    <s v="My laptop's keyboard isn't working properly, some keys are stuck. Certain six among before."/>
    <x v="2"/>
    <s v="Saturday"/>
    <s v="Jan-1900"/>
    <n v="0"/>
    <n v="-2.0196759259259248E-3"/>
    <n v="-4.8472222222222194E-2"/>
    <n v="3.2855324074074072E-2"/>
  </r>
  <r>
    <s v="TICKET-1137"/>
    <d v="1899-12-30T00:14:35"/>
    <d v="1899-12-30T00:16:51"/>
    <x v="2"/>
    <x v="1"/>
    <s v="My laptop's keyboard isn't working properly, some keys are stuck. Ago his against point garden drug."/>
    <x v="2"/>
    <s v="Saturday"/>
    <s v="Jan-1900"/>
    <n v="0"/>
    <n v="1.5682870370370382E-3"/>
    <n v="3.7638888888888916E-2"/>
    <n v="1.1700231481481482E-2"/>
  </r>
  <r>
    <s v="TICKET-1138"/>
    <d v="1899-12-30T00:22:46"/>
    <d v="1899-12-30T00:41:10"/>
    <x v="1"/>
    <x v="0"/>
    <s v="Application X is crashing every time I open it. Any state food citizen."/>
    <x v="1"/>
    <s v="Saturday"/>
    <s v="Jan-1900"/>
    <n v="0"/>
    <n v="1.2787037037037038E-2"/>
    <n v="0.30688888888888888"/>
    <n v="2.8592592592592593E-2"/>
  </r>
  <r>
    <s v="TICKET-1139"/>
    <d v="1899-12-30T00:38:53"/>
    <d v="1899-12-30T00:24:43"/>
    <x v="4"/>
    <x v="6"/>
    <s v="Can't connect to the Wi-Fi. It's showing 'No internet access'. He particularly begin save area finally word."/>
    <x v="2"/>
    <s v="Saturday"/>
    <s v="Jan-1900"/>
    <n v="0"/>
    <n v="-9.8449074074074099E-3"/>
    <n v="-0.23627777777777784"/>
    <n v="1.716087962962963E-2"/>
  </r>
  <r>
    <s v="TICKET-1140"/>
    <d v="1899-12-30T00:58:02"/>
    <d v="1899-12-30T00:50:41"/>
    <x v="2"/>
    <x v="8"/>
    <s v="My laptop's keyboard isn't working properly, some keys are stuck. Serious simply mind cost movie actually."/>
    <x v="1"/>
    <s v="Saturday"/>
    <s v="Jan-1900"/>
    <n v="0"/>
    <n v="-5.1041666666666666E-3"/>
    <n v="-0.1225"/>
    <n v="3.5194444444444445E-2"/>
  </r>
  <r>
    <s v="TICKET-1141"/>
    <d v="1899-12-30T00:22:03"/>
    <d v="1899-12-30T00:14:10"/>
    <x v="2"/>
    <x v="0"/>
    <s v="My laptop's keyboard isn't working properly, some keys are stuck. Social approach mother white."/>
    <x v="1"/>
    <s v="Saturday"/>
    <s v="Jan-1900"/>
    <n v="0"/>
    <n v="-5.4791666666666652E-3"/>
    <n v="-0.13149999999999995"/>
    <n v="9.8344907407407409E-3"/>
  </r>
  <r>
    <s v="TICKET-1142"/>
    <d v="1899-12-30T00:20:39"/>
    <d v="1899-12-30T00:34:39"/>
    <x v="4"/>
    <x v="4"/>
    <s v="Can't connect to the Wi-Fi. It's showing 'No internet access'. Enter room up sound nature."/>
    <x v="1"/>
    <s v="Saturday"/>
    <s v="Jan-1900"/>
    <n v="0"/>
    <n v="9.7222222222222206E-3"/>
    <n v="0.23333333333333328"/>
    <n v="2.4067129629629629E-2"/>
  </r>
  <r>
    <s v="TICKET-1143"/>
    <d v="1899-12-30T00:49:31"/>
    <d v="1899-12-30T00:49:37"/>
    <x v="2"/>
    <x v="3"/>
    <s v="My laptop's keyboard isn't working properly, some keys are stuck. Effort to since question."/>
    <x v="2"/>
    <s v="Saturday"/>
    <s v="Jan-1900"/>
    <n v="0"/>
    <n v="7.5231481481481677E-5"/>
    <n v="1.8055555555555602E-3"/>
    <n v="3.4458333333333334E-2"/>
  </r>
  <r>
    <s v="TICKET-1144"/>
    <d v="1899-12-30T00:04:20"/>
    <d v="1899-12-30T00:18:06"/>
    <x v="1"/>
    <x v="8"/>
    <s v="Application X is crashing every time I open it. These drive president building."/>
    <x v="1"/>
    <s v="Saturday"/>
    <s v="Jan-1900"/>
    <n v="0"/>
    <n v="9.5601851851851855E-3"/>
    <n v="0.22944444444444445"/>
    <n v="1.2567129629629629E-2"/>
  </r>
  <r>
    <s v="TICKET-1145"/>
    <d v="1899-12-30T00:49:39"/>
    <d v="1899-12-30T00:50:14"/>
    <x v="6"/>
    <x v="3"/>
    <s v="Suddenly effort she without without."/>
    <x v="3"/>
    <s v="Saturday"/>
    <s v="Jan-1900"/>
    <n v="0"/>
    <n v="4.0393518518518773E-4"/>
    <n v="9.6944444444445055E-3"/>
    <n v="3.487847222222222E-2"/>
  </r>
  <r>
    <s v="TICKET-1146"/>
    <d v="1899-12-30T00:03:22"/>
    <d v="1899-12-30T00:54:19"/>
    <x v="4"/>
    <x v="6"/>
    <s v="Can't connect to the Wi-Fi. It's showing 'No internet access'. Should that nation can difficult nice."/>
    <x v="0"/>
    <s v="Saturday"/>
    <s v="Jan-1900"/>
    <n v="0"/>
    <n v="3.5390046296296294E-2"/>
    <n v="0.84936111111111101"/>
    <n v="3.7722222222222219E-2"/>
  </r>
  <r>
    <s v="TICKET-1147"/>
    <d v="1899-12-30T00:56:42"/>
    <d v="1899-12-30T00:01:09"/>
    <x v="5"/>
    <x v="3"/>
    <s v="Look scene real owner agent whose specific. Along they yourself character year or behind."/>
    <x v="2"/>
    <s v="Saturday"/>
    <s v="Jan-1900"/>
    <n v="0"/>
    <n v="-3.8578703703703705E-2"/>
    <n v="-0.92588888888888898"/>
    <n v="8.0092592592592596E-4"/>
  </r>
  <r>
    <s v="TICKET-1148"/>
    <d v="1899-12-30T00:22:14"/>
    <d v="1899-12-30T00:50:12"/>
    <x v="0"/>
    <x v="7"/>
    <s v="You reflect radio. Especially speech wish interesting wife."/>
    <x v="1"/>
    <s v="Saturday"/>
    <s v="Jan-1900"/>
    <n v="0"/>
    <n v="1.9418981481481485E-2"/>
    <n v="0.46605555555555567"/>
    <n v="3.4859953703703705E-2"/>
  </r>
  <r>
    <s v="TICKET-1149"/>
    <d v="1899-12-30T00:12:39"/>
    <d v="1899-12-30T00:13:25"/>
    <x v="2"/>
    <x v="0"/>
    <s v="My laptop's keyboard isn't working properly, some keys are stuck. Event pattern factor deep manager work."/>
    <x v="1"/>
    <s v="Saturday"/>
    <s v="Jan-1900"/>
    <n v="0"/>
    <n v="5.3935185185185162E-4"/>
    <n v="1.2944444444444439E-2"/>
    <n v="9.3217592592592588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41363-2C78-4035-9F24-FEB5B0E725D0}" name="PivotTable1" cacheId="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F10" firstHeaderRow="1" firstDataRow="2" firstDataCol="1"/>
  <pivotFields count="13">
    <pivotField showAll="0"/>
    <pivotField numFmtId="164" showAll="0"/>
    <pivotField numFmtId="164" showAll="0"/>
    <pivotField axis="axisRow" showAll="0">
      <items count="8">
        <item x="3"/>
        <item x="6"/>
        <item x="2"/>
        <item x="4"/>
        <item x="0"/>
        <item x="5"/>
        <item x="1"/>
        <item t="default"/>
      </items>
    </pivotField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avg_res_time" fld="12" baseField="3" baseItem="0" numFmtId="2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88E49-EE11-4E3B-AC0E-049A3B380B8C}" name="PivotTable5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2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icket_id" fld="0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ckets_analysis_report1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43E9B-F757-4B36-886F-D4459943964D}" name="PivotTable4" cacheId="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ssigned_DA">
  <location ref="A2:C13" firstHeaderRow="0" firstDataRow="1" firstDataCol="1"/>
  <pivotFields count="13">
    <pivotField dataField="1" showAll="0"/>
    <pivotField numFmtId="164" showAll="0"/>
    <pivotField numFmtId="164" showAll="0"/>
    <pivotField showAll="0"/>
    <pivotField axis="axisRow" showAll="0">
      <items count="11">
        <item x="7"/>
        <item x="6"/>
        <item x="5"/>
        <item x="3"/>
        <item x="4"/>
        <item x="9"/>
        <item x="8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_id" fld="0" subtotal="count" baseField="0" baseItem="0"/>
    <dataField name="Sum of avg_res_time" fld="12" baseField="4" baseItem="0"/>
  </dataFields>
  <formats count="4">
    <format dxfId="3">
      <pivotArea collapsedLevelsAreSubtotals="1" fieldPosition="0">
        <references count="1">
          <reference field="4" count="1">
            <x v="8"/>
          </reference>
        </references>
      </pivotArea>
    </format>
    <format dxfId="2">
      <pivotArea dataOnly="0" labelOnly="1" fieldPosition="0">
        <references count="1">
          <reference field="4" count="1">
            <x v="8"/>
          </reference>
        </references>
      </pivotArea>
    </format>
    <format dxfId="1">
      <pivotArea collapsedLevelsAreSubtotals="1" fieldPosition="0">
        <references count="1">
          <reference field="4" count="1">
            <x v="6"/>
          </reference>
        </references>
      </pivotArea>
    </format>
    <format dxfId="0">
      <pivotArea dataOnly="0" labelOnly="1" fieldPosition="0">
        <references count="1">
          <reference field="4" count="1">
            <x v="6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0EC3F-B18C-4DC1-BEB3-267A2E97DBA4}" name="Table1" displayName="Table1" ref="A1:M151" totalsRowShown="0" headerRowDxfId="18" dataDxfId="17">
  <autoFilter ref="A1:M151" xr:uid="{4680EC3F-B18C-4DC1-BEB3-267A2E97DBA4}"/>
  <tableColumns count="13">
    <tableColumn id="1" xr3:uid="{939E4310-6A85-45FF-858A-F44BB4F69A11}" name="ticket_id" dataDxfId="16"/>
    <tableColumn id="2" xr3:uid="{B91F31B4-EE5B-4906-BBE0-E56A08DEB12E}" name="submission_date" dataDxfId="15"/>
    <tableColumn id="3" xr3:uid="{1586FE02-CB44-4397-8EE8-B3D955C0B513}" name="resolution_date" dataDxfId="14"/>
    <tableColumn id="4" xr3:uid="{6257BE58-B141-4420-B0DB-2C2463E891C4}" name="category" dataDxfId="13"/>
    <tableColumn id="5" xr3:uid="{8C045584-A935-472C-A432-859EDD50F36D}" name="assigned_analyst" dataDxfId="12"/>
    <tableColumn id="6" xr3:uid="{6283EBE8-3BA5-49B4-9568-D35436392810}" name="description" dataDxfId="11"/>
    <tableColumn id="7" xr3:uid="{44623F18-3F05-452E-B022-51B878EF0CF1}" name="priority" dataDxfId="10"/>
    <tableColumn id="8" xr3:uid="{D960443C-878B-42D8-8ACE-3D62046E3BFF}" name="day" dataDxfId="9">
      <calculatedColumnFormula>TEXT(Table1[[#This Row],[submission_date]], "dddd")</calculatedColumnFormula>
    </tableColumn>
    <tableColumn id="9" xr3:uid="{8D05FA1B-BF68-44CE-BA7A-44FB8BAAD8FD}" name="mon_year" dataDxfId="8">
      <calculatedColumnFormula>TEXT(Table1[[#This Row],[submission_date]], "mmm-yyyy")</calculatedColumnFormula>
    </tableColumn>
    <tableColumn id="10" xr3:uid="{9A50565F-D386-4EC5-BC71-48630F948697}" name="hour" dataDxfId="7">
      <calculatedColumnFormula>HOUR(Table1[[#This Row],[submission_date]])</calculatedColumnFormula>
    </tableColumn>
    <tableColumn id="11" xr3:uid="{5FF21E94-799C-405F-9ED7-20D3941C788F}" name="res_time" dataDxfId="6">
      <calculatedColumnFormula>Table1[[#This Row],[resolution_date]] - Table1[[#This Row],[submission_date]]</calculatedColumnFormula>
    </tableColumn>
    <tableColumn id="12" xr3:uid="{C43FBAA9-3B0A-44E2-87F3-65A43AA9325A}" name="res_time_hr" dataDxfId="5">
      <calculatedColumnFormula>Table1[[#This Row],[res_time]]*24</calculatedColumnFormula>
    </tableColumn>
    <tableColumn id="13" xr3:uid="{BB061FF8-C782-47DD-B32F-2F8E3D03C052}" name="avg_res_time" dataDxfId="4">
      <calculatedColumnFormula>AVERAGE(Table1[[#This Row],[resolution_date]])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30DE-E354-4DC0-8935-72623C102D98}">
  <dimension ref="A1:M151"/>
  <sheetViews>
    <sheetView tabSelected="1" topLeftCell="C1" workbookViewId="0">
      <selection activeCell="J2" sqref="J2:J151"/>
    </sheetView>
  </sheetViews>
  <sheetFormatPr defaultRowHeight="14.4" x14ac:dyDescent="0.3"/>
  <cols>
    <col min="1" max="1" width="14.5546875" customWidth="1"/>
    <col min="2" max="2" width="16.21875" style="4" customWidth="1"/>
    <col min="3" max="3" width="15.77734375" style="4" customWidth="1"/>
    <col min="4" max="4" width="10" customWidth="1"/>
    <col min="5" max="5" width="20.109375" customWidth="1"/>
    <col min="6" max="6" width="26.5546875" customWidth="1"/>
    <col min="7" max="7" width="13.77734375" customWidth="1"/>
    <col min="8" max="8" width="17.21875" customWidth="1"/>
    <col min="9" max="9" width="22.5546875" customWidth="1"/>
    <col min="10" max="10" width="12.88671875" customWidth="1"/>
    <col min="11" max="11" width="15.109375" customWidth="1"/>
    <col min="12" max="12" width="20.5546875" customWidth="1"/>
    <col min="13" max="13" width="23.77734375" customWidth="1"/>
  </cols>
  <sheetData>
    <row r="1" spans="1:13" x14ac:dyDescent="0.3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329</v>
      </c>
      <c r="I1" s="1" t="s">
        <v>328</v>
      </c>
      <c r="J1" s="1" t="s">
        <v>330</v>
      </c>
      <c r="K1" s="1" t="s">
        <v>332</v>
      </c>
      <c r="L1" s="1" t="s">
        <v>331</v>
      </c>
      <c r="M1" s="1" t="s">
        <v>333</v>
      </c>
    </row>
    <row r="2" spans="1:13" x14ac:dyDescent="0.3">
      <c r="A2" s="1" t="s">
        <v>7</v>
      </c>
      <c r="B2" s="3">
        <v>2.5185185185185185E-2</v>
      </c>
      <c r="C2" s="3">
        <v>3.2414351851851854E-2</v>
      </c>
      <c r="D2" s="1" t="s">
        <v>8</v>
      </c>
      <c r="E2" s="1" t="s">
        <v>9</v>
      </c>
      <c r="F2" s="1" t="s">
        <v>10</v>
      </c>
      <c r="G2" s="1" t="s">
        <v>11</v>
      </c>
      <c r="H2" s="1" t="str">
        <f>TEXT(Table1[[#This Row],[submission_date]], "dddd")</f>
        <v>Saturday</v>
      </c>
      <c r="I2" s="1" t="str">
        <f>TEXT(Table1[[#This Row],[submission_date]], "mmm-yyyy")</f>
        <v>Jan-1900</v>
      </c>
      <c r="J2" s="1">
        <f>HOUR(Table1[[#This Row],[submission_date]])</f>
        <v>0</v>
      </c>
      <c r="K2" s="5">
        <f>Table1[[#This Row],[resolution_date]] - Table1[[#This Row],[submission_date]]</f>
        <v>7.2291666666666685E-3</v>
      </c>
      <c r="L2" s="5">
        <f>Table1[[#This Row],[res_time]]*24</f>
        <v>0.17350000000000004</v>
      </c>
      <c r="M2" s="5">
        <f>AVERAGE(Table1[[#This Row],[resolution_date]])</f>
        <v>3.2414351851851854E-2</v>
      </c>
    </row>
    <row r="3" spans="1:13" x14ac:dyDescent="0.3">
      <c r="A3" s="1" t="s">
        <v>12</v>
      </c>
      <c r="B3" s="3">
        <v>1.9432870370370371E-2</v>
      </c>
      <c r="C3" s="3">
        <v>1.2565972222222223E-2</v>
      </c>
      <c r="D3" s="1" t="s">
        <v>13</v>
      </c>
      <c r="E3" s="1" t="s">
        <v>14</v>
      </c>
      <c r="F3" s="1" t="s">
        <v>15</v>
      </c>
      <c r="G3" s="1" t="s">
        <v>16</v>
      </c>
      <c r="H3" s="1" t="str">
        <f>TEXT(Table1[[#This Row],[submission_date]], "dddd")</f>
        <v>Saturday</v>
      </c>
      <c r="I3" s="1" t="str">
        <f>TEXT(Table1[[#This Row],[submission_date]], "mmm-yyyy")</f>
        <v>Jan-1900</v>
      </c>
      <c r="J3" s="1">
        <f>HOUR(Table1[[#This Row],[submission_date]])</f>
        <v>0</v>
      </c>
      <c r="K3" s="5">
        <f>Table1[[#This Row],[resolution_date]] - Table1[[#This Row],[submission_date]]</f>
        <v>-6.866898148148148E-3</v>
      </c>
      <c r="L3" s="5">
        <f>Table1[[#This Row],[res_time]]*24</f>
        <v>-0.16480555555555554</v>
      </c>
      <c r="M3" s="5">
        <f>AVERAGE(Table1[[#This Row],[resolution_date]])</f>
        <v>1.2565972222222223E-2</v>
      </c>
    </row>
    <row r="4" spans="1:13" x14ac:dyDescent="0.3">
      <c r="A4" s="1" t="s">
        <v>17</v>
      </c>
      <c r="B4" s="3">
        <v>2.2251157407407407E-2</v>
      </c>
      <c r="C4" s="3">
        <v>3.5144675925925926E-2</v>
      </c>
      <c r="D4" s="1" t="s">
        <v>8</v>
      </c>
      <c r="E4" s="1" t="s">
        <v>18</v>
      </c>
      <c r="F4" s="1" t="s">
        <v>19</v>
      </c>
      <c r="G4" s="1" t="s">
        <v>16</v>
      </c>
      <c r="H4" s="1" t="str">
        <f>TEXT(Table1[[#This Row],[submission_date]], "dddd")</f>
        <v>Saturday</v>
      </c>
      <c r="I4" s="1" t="str">
        <f>TEXT(Table1[[#This Row],[submission_date]], "mmm-yyyy")</f>
        <v>Jan-1900</v>
      </c>
      <c r="J4" s="1">
        <f>HOUR(Table1[[#This Row],[submission_date]])</f>
        <v>0</v>
      </c>
      <c r="K4" s="5">
        <f>Table1[[#This Row],[resolution_date]] - Table1[[#This Row],[submission_date]]</f>
        <v>1.2893518518518519E-2</v>
      </c>
      <c r="L4" s="5">
        <f>Table1[[#This Row],[res_time]]*24</f>
        <v>0.30944444444444447</v>
      </c>
      <c r="M4" s="5">
        <f>AVERAGE(Table1[[#This Row],[resolution_date]])</f>
        <v>3.5144675925925926E-2</v>
      </c>
    </row>
    <row r="5" spans="1:13" x14ac:dyDescent="0.3">
      <c r="A5" s="1" t="s">
        <v>20</v>
      </c>
      <c r="B5" s="3">
        <v>3.3032407407407406E-2</v>
      </c>
      <c r="C5" s="3">
        <v>2.6612268518518521E-2</v>
      </c>
      <c r="D5" s="1" t="s">
        <v>21</v>
      </c>
      <c r="E5" s="1" t="s">
        <v>22</v>
      </c>
      <c r="F5" s="1" t="s">
        <v>23</v>
      </c>
      <c r="G5" s="1" t="s">
        <v>11</v>
      </c>
      <c r="H5" s="1" t="str">
        <f>TEXT(Table1[[#This Row],[submission_date]], "dddd")</f>
        <v>Saturday</v>
      </c>
      <c r="I5" s="1" t="str">
        <f>TEXT(Table1[[#This Row],[submission_date]], "mmm-yyyy")</f>
        <v>Jan-1900</v>
      </c>
      <c r="J5" s="1">
        <f>HOUR(Table1[[#This Row],[submission_date]])</f>
        <v>0</v>
      </c>
      <c r="K5" s="5">
        <f>Table1[[#This Row],[resolution_date]] - Table1[[#This Row],[submission_date]]</f>
        <v>-6.420138888888885E-3</v>
      </c>
      <c r="L5" s="5">
        <f>Table1[[#This Row],[res_time]]*24</f>
        <v>-0.15408333333333324</v>
      </c>
      <c r="M5" s="5">
        <f>AVERAGE(Table1[[#This Row],[resolution_date]])</f>
        <v>2.6612268518518521E-2</v>
      </c>
    </row>
    <row r="6" spans="1:13" x14ac:dyDescent="0.3">
      <c r="A6" s="1" t="s">
        <v>24</v>
      </c>
      <c r="B6" s="3">
        <v>3.2043981481481479E-2</v>
      </c>
      <c r="C6" s="3">
        <v>3.6888888888888888E-2</v>
      </c>
      <c r="D6" s="1" t="s">
        <v>13</v>
      </c>
      <c r="E6" s="1" t="s">
        <v>25</v>
      </c>
      <c r="F6" s="1" t="s">
        <v>26</v>
      </c>
      <c r="G6" s="1" t="s">
        <v>11</v>
      </c>
      <c r="H6" s="1" t="str">
        <f>TEXT(Table1[[#This Row],[submission_date]], "dddd")</f>
        <v>Saturday</v>
      </c>
      <c r="I6" s="1" t="str">
        <f>TEXT(Table1[[#This Row],[submission_date]], "mmm-yyyy")</f>
        <v>Jan-1900</v>
      </c>
      <c r="J6" s="1">
        <f>HOUR(Table1[[#This Row],[submission_date]])</f>
        <v>0</v>
      </c>
      <c r="K6" s="5">
        <f>Table1[[#This Row],[resolution_date]] - Table1[[#This Row],[submission_date]]</f>
        <v>4.8449074074074089E-3</v>
      </c>
      <c r="L6" s="5">
        <f>Table1[[#This Row],[res_time]]*24</f>
        <v>0.11627777777777781</v>
      </c>
      <c r="M6" s="5">
        <f>AVERAGE(Table1[[#This Row],[resolution_date]])</f>
        <v>3.6888888888888888E-2</v>
      </c>
    </row>
    <row r="7" spans="1:13" x14ac:dyDescent="0.3">
      <c r="A7" s="1" t="s">
        <v>27</v>
      </c>
      <c r="B7" s="3">
        <v>2.2688657407407407E-2</v>
      </c>
      <c r="C7" s="3">
        <v>3.6592592592592593E-2</v>
      </c>
      <c r="D7" s="1" t="s">
        <v>13</v>
      </c>
      <c r="E7" s="1" t="s">
        <v>18</v>
      </c>
      <c r="F7" s="1" t="s">
        <v>28</v>
      </c>
      <c r="G7" s="1" t="s">
        <v>29</v>
      </c>
      <c r="H7" s="1" t="str">
        <f>TEXT(Table1[[#This Row],[submission_date]], "dddd")</f>
        <v>Saturday</v>
      </c>
      <c r="I7" s="1" t="str">
        <f>TEXT(Table1[[#This Row],[submission_date]], "mmm-yyyy")</f>
        <v>Jan-1900</v>
      </c>
      <c r="J7" s="1">
        <f>HOUR(Table1[[#This Row],[submission_date]])</f>
        <v>0</v>
      </c>
      <c r="K7" s="5">
        <f>Table1[[#This Row],[resolution_date]] - Table1[[#This Row],[submission_date]]</f>
        <v>1.3903935185185186E-2</v>
      </c>
      <c r="L7" s="5">
        <f>Table1[[#This Row],[res_time]]*24</f>
        <v>0.33369444444444446</v>
      </c>
      <c r="M7" s="5">
        <f>AVERAGE(Table1[[#This Row],[resolution_date]])</f>
        <v>3.6592592592592593E-2</v>
      </c>
    </row>
    <row r="8" spans="1:13" x14ac:dyDescent="0.3">
      <c r="A8" s="1" t="s">
        <v>30</v>
      </c>
      <c r="B8" s="3">
        <v>2.6570601851851849E-2</v>
      </c>
      <c r="C8" s="3">
        <v>8.2118055555555555E-3</v>
      </c>
      <c r="D8" s="1" t="s">
        <v>31</v>
      </c>
      <c r="E8" s="1" t="s">
        <v>32</v>
      </c>
      <c r="F8" s="1" t="s">
        <v>33</v>
      </c>
      <c r="G8" s="1" t="s">
        <v>29</v>
      </c>
      <c r="H8" s="1" t="str">
        <f>TEXT(Table1[[#This Row],[submission_date]], "dddd")</f>
        <v>Saturday</v>
      </c>
      <c r="I8" s="1" t="str">
        <f>TEXT(Table1[[#This Row],[submission_date]], "mmm-yyyy")</f>
        <v>Jan-1900</v>
      </c>
      <c r="J8" s="1">
        <f>HOUR(Table1[[#This Row],[submission_date]])</f>
        <v>0</v>
      </c>
      <c r="K8" s="5">
        <f>Table1[[#This Row],[resolution_date]] - Table1[[#This Row],[submission_date]]</f>
        <v>-1.8358796296296293E-2</v>
      </c>
      <c r="L8" s="5">
        <f>Table1[[#This Row],[res_time]]*24</f>
        <v>-0.44061111111111106</v>
      </c>
      <c r="M8" s="5">
        <f>AVERAGE(Table1[[#This Row],[resolution_date]])</f>
        <v>8.2118055555555555E-3</v>
      </c>
    </row>
    <row r="9" spans="1:13" x14ac:dyDescent="0.3">
      <c r="A9" s="1" t="s">
        <v>34</v>
      </c>
      <c r="B9" s="3">
        <v>3.0185185185185186E-2</v>
      </c>
      <c r="C9" s="3">
        <v>1.8281249999999999E-2</v>
      </c>
      <c r="D9" s="1" t="s">
        <v>13</v>
      </c>
      <c r="E9" s="1" t="s">
        <v>35</v>
      </c>
      <c r="F9" s="1" t="s">
        <v>36</v>
      </c>
      <c r="G9" s="1" t="s">
        <v>29</v>
      </c>
      <c r="H9" s="1" t="str">
        <f>TEXT(Table1[[#This Row],[submission_date]], "dddd")</f>
        <v>Saturday</v>
      </c>
      <c r="I9" s="1" t="str">
        <f>TEXT(Table1[[#This Row],[submission_date]], "mmm-yyyy")</f>
        <v>Jan-1900</v>
      </c>
      <c r="J9" s="1">
        <f>HOUR(Table1[[#This Row],[submission_date]])</f>
        <v>0</v>
      </c>
      <c r="K9" s="5">
        <f>Table1[[#This Row],[resolution_date]] - Table1[[#This Row],[submission_date]]</f>
        <v>-1.1903935185185188E-2</v>
      </c>
      <c r="L9" s="5">
        <f>Table1[[#This Row],[res_time]]*24</f>
        <v>-0.28569444444444447</v>
      </c>
      <c r="M9" s="5">
        <f>AVERAGE(Table1[[#This Row],[resolution_date]])</f>
        <v>1.8281249999999999E-2</v>
      </c>
    </row>
    <row r="10" spans="1:13" x14ac:dyDescent="0.3">
      <c r="A10" s="1" t="s">
        <v>37</v>
      </c>
      <c r="B10" s="3">
        <v>2.862962962962963E-2</v>
      </c>
      <c r="C10" s="3">
        <v>3.1030092592592593E-3</v>
      </c>
      <c r="D10" s="1" t="s">
        <v>21</v>
      </c>
      <c r="E10" s="1" t="s">
        <v>35</v>
      </c>
      <c r="F10" s="1" t="s">
        <v>38</v>
      </c>
      <c r="G10" s="1" t="s">
        <v>16</v>
      </c>
      <c r="H10" s="1" t="str">
        <f>TEXT(Table1[[#This Row],[submission_date]], "dddd")</f>
        <v>Saturday</v>
      </c>
      <c r="I10" s="1" t="str">
        <f>TEXT(Table1[[#This Row],[submission_date]], "mmm-yyyy")</f>
        <v>Jan-1900</v>
      </c>
      <c r="J10" s="1">
        <f>HOUR(Table1[[#This Row],[submission_date]])</f>
        <v>0</v>
      </c>
      <c r="K10" s="5">
        <f>Table1[[#This Row],[resolution_date]] - Table1[[#This Row],[submission_date]]</f>
        <v>-2.552662037037037E-2</v>
      </c>
      <c r="L10" s="5">
        <f>Table1[[#This Row],[res_time]]*24</f>
        <v>-0.61263888888888884</v>
      </c>
      <c r="M10" s="5">
        <f>AVERAGE(Table1[[#This Row],[resolution_date]])</f>
        <v>3.1030092592592593E-3</v>
      </c>
    </row>
    <row r="11" spans="1:13" x14ac:dyDescent="0.3">
      <c r="A11" s="1" t="s">
        <v>39</v>
      </c>
      <c r="B11" s="3">
        <v>3.4407407407407407E-2</v>
      </c>
      <c r="C11" s="3">
        <v>4.0707175925925924E-2</v>
      </c>
      <c r="D11" s="1" t="s">
        <v>13</v>
      </c>
      <c r="E11" s="1" t="s">
        <v>18</v>
      </c>
      <c r="F11" s="1" t="s">
        <v>40</v>
      </c>
      <c r="G11" s="1" t="s">
        <v>16</v>
      </c>
      <c r="H11" s="1" t="str">
        <f>TEXT(Table1[[#This Row],[submission_date]], "dddd")</f>
        <v>Saturday</v>
      </c>
      <c r="I11" s="1" t="str">
        <f>TEXT(Table1[[#This Row],[submission_date]], "mmm-yyyy")</f>
        <v>Jan-1900</v>
      </c>
      <c r="J11" s="1">
        <f>HOUR(Table1[[#This Row],[submission_date]])</f>
        <v>0</v>
      </c>
      <c r="K11" s="5">
        <f>Table1[[#This Row],[resolution_date]] - Table1[[#This Row],[submission_date]]</f>
        <v>6.299768518518517E-3</v>
      </c>
      <c r="L11" s="5">
        <f>Table1[[#This Row],[res_time]]*24</f>
        <v>0.15119444444444441</v>
      </c>
      <c r="M11" s="5">
        <f>AVERAGE(Table1[[#This Row],[resolution_date]])</f>
        <v>4.0707175925925924E-2</v>
      </c>
    </row>
    <row r="12" spans="1:13" x14ac:dyDescent="0.3">
      <c r="A12" s="1" t="s">
        <v>41</v>
      </c>
      <c r="B12" s="3">
        <v>1.3909722222222221E-2</v>
      </c>
      <c r="C12" s="3">
        <v>1.9807870370370372E-2</v>
      </c>
      <c r="D12" s="1" t="s">
        <v>13</v>
      </c>
      <c r="E12" s="1" t="s">
        <v>42</v>
      </c>
      <c r="F12" s="1" t="s">
        <v>43</v>
      </c>
      <c r="G12" s="1" t="s">
        <v>29</v>
      </c>
      <c r="H12" s="1" t="str">
        <f>TEXT(Table1[[#This Row],[submission_date]], "dddd")</f>
        <v>Saturday</v>
      </c>
      <c r="I12" s="1" t="str">
        <f>TEXT(Table1[[#This Row],[submission_date]], "mmm-yyyy")</f>
        <v>Jan-1900</v>
      </c>
      <c r="J12" s="1">
        <f>HOUR(Table1[[#This Row],[submission_date]])</f>
        <v>0</v>
      </c>
      <c r="K12" s="5">
        <f>Table1[[#This Row],[resolution_date]] - Table1[[#This Row],[submission_date]]</f>
        <v>5.8981481481481506E-3</v>
      </c>
      <c r="L12" s="5">
        <f>Table1[[#This Row],[res_time]]*24</f>
        <v>0.1415555555555556</v>
      </c>
      <c r="M12" s="5">
        <f>AVERAGE(Table1[[#This Row],[resolution_date]])</f>
        <v>1.9807870370370372E-2</v>
      </c>
    </row>
    <row r="13" spans="1:13" x14ac:dyDescent="0.3">
      <c r="A13" s="1" t="s">
        <v>44</v>
      </c>
      <c r="B13" s="3">
        <v>3.910532407407407E-2</v>
      </c>
      <c r="C13" s="3">
        <v>3.2322916666666666E-2</v>
      </c>
      <c r="D13" s="1" t="s">
        <v>45</v>
      </c>
      <c r="E13" s="1" t="s">
        <v>46</v>
      </c>
      <c r="F13" s="1" t="s">
        <v>47</v>
      </c>
      <c r="G13" s="1" t="s">
        <v>11</v>
      </c>
      <c r="H13" s="1" t="str">
        <f>TEXT(Table1[[#This Row],[submission_date]], "dddd")</f>
        <v>Saturday</v>
      </c>
      <c r="I13" s="1" t="str">
        <f>TEXT(Table1[[#This Row],[submission_date]], "mmm-yyyy")</f>
        <v>Jan-1900</v>
      </c>
      <c r="J13" s="1">
        <f>HOUR(Table1[[#This Row],[submission_date]])</f>
        <v>0</v>
      </c>
      <c r="K13" s="5">
        <f>Table1[[#This Row],[resolution_date]] - Table1[[#This Row],[submission_date]]</f>
        <v>-6.7824074074074037E-3</v>
      </c>
      <c r="L13" s="5">
        <f>Table1[[#This Row],[res_time]]*24</f>
        <v>-0.16277777777777769</v>
      </c>
      <c r="M13" s="5">
        <f>AVERAGE(Table1[[#This Row],[resolution_date]])</f>
        <v>3.2322916666666666E-2</v>
      </c>
    </row>
    <row r="14" spans="1:13" x14ac:dyDescent="0.3">
      <c r="A14" s="1" t="s">
        <v>48</v>
      </c>
      <c r="B14" s="3">
        <v>3.5961805555555552E-2</v>
      </c>
      <c r="C14" s="3">
        <v>4.0754629629629627E-2</v>
      </c>
      <c r="D14" s="1" t="s">
        <v>45</v>
      </c>
      <c r="E14" s="1" t="s">
        <v>9</v>
      </c>
      <c r="F14" s="1" t="s">
        <v>49</v>
      </c>
      <c r="G14" s="1" t="s">
        <v>16</v>
      </c>
      <c r="H14" s="1" t="str">
        <f>TEXT(Table1[[#This Row],[submission_date]], "dddd")</f>
        <v>Saturday</v>
      </c>
      <c r="I14" s="1" t="str">
        <f>TEXT(Table1[[#This Row],[submission_date]], "mmm-yyyy")</f>
        <v>Jan-1900</v>
      </c>
      <c r="J14" s="1">
        <f>HOUR(Table1[[#This Row],[submission_date]])</f>
        <v>0</v>
      </c>
      <c r="K14" s="5">
        <f>Table1[[#This Row],[resolution_date]] - Table1[[#This Row],[submission_date]]</f>
        <v>4.7928240740740743E-3</v>
      </c>
      <c r="L14" s="5">
        <f>Table1[[#This Row],[res_time]]*24</f>
        <v>0.11502777777777778</v>
      </c>
      <c r="M14" s="5">
        <f>AVERAGE(Table1[[#This Row],[resolution_date]])</f>
        <v>4.0754629629629627E-2</v>
      </c>
    </row>
    <row r="15" spans="1:13" x14ac:dyDescent="0.3">
      <c r="A15" s="1" t="s">
        <v>50</v>
      </c>
      <c r="B15" s="3">
        <v>6.1759259259259259E-3</v>
      </c>
      <c r="C15" s="3">
        <v>3.8006944444444447E-2</v>
      </c>
      <c r="D15" s="1" t="s">
        <v>13</v>
      </c>
      <c r="E15" s="1" t="s">
        <v>35</v>
      </c>
      <c r="F15" s="1" t="s">
        <v>51</v>
      </c>
      <c r="G15" s="1" t="s">
        <v>29</v>
      </c>
      <c r="H15" s="1" t="str">
        <f>TEXT(Table1[[#This Row],[submission_date]], "dddd")</f>
        <v>Saturday</v>
      </c>
      <c r="I15" s="1" t="str">
        <f>TEXT(Table1[[#This Row],[submission_date]], "mmm-yyyy")</f>
        <v>Jan-1900</v>
      </c>
      <c r="J15" s="1">
        <f>HOUR(Table1[[#This Row],[submission_date]])</f>
        <v>0</v>
      </c>
      <c r="K15" s="5">
        <f>Table1[[#This Row],[resolution_date]] - Table1[[#This Row],[submission_date]]</f>
        <v>3.1831018518518522E-2</v>
      </c>
      <c r="L15" s="5">
        <f>Table1[[#This Row],[res_time]]*24</f>
        <v>0.76394444444444454</v>
      </c>
      <c r="M15" s="5">
        <f>AVERAGE(Table1[[#This Row],[resolution_date]])</f>
        <v>3.8006944444444447E-2</v>
      </c>
    </row>
    <row r="16" spans="1:13" x14ac:dyDescent="0.3">
      <c r="A16" s="1" t="s">
        <v>52</v>
      </c>
      <c r="B16" s="3">
        <v>2.2894675925925926E-2</v>
      </c>
      <c r="C16" s="3">
        <v>8.0069444444444433E-3</v>
      </c>
      <c r="D16" s="1" t="s">
        <v>13</v>
      </c>
      <c r="E16" s="1" t="s">
        <v>14</v>
      </c>
      <c r="F16" s="1" t="s">
        <v>53</v>
      </c>
      <c r="G16" s="1" t="s">
        <v>11</v>
      </c>
      <c r="H16" s="1" t="str">
        <f>TEXT(Table1[[#This Row],[submission_date]], "dddd")</f>
        <v>Saturday</v>
      </c>
      <c r="I16" s="1" t="str">
        <f>TEXT(Table1[[#This Row],[submission_date]], "mmm-yyyy")</f>
        <v>Jan-1900</v>
      </c>
      <c r="J16" s="1">
        <f>HOUR(Table1[[#This Row],[submission_date]])</f>
        <v>0</v>
      </c>
      <c r="K16" s="5">
        <f>Table1[[#This Row],[resolution_date]] - Table1[[#This Row],[submission_date]]</f>
        <v>-1.4887731481481483E-2</v>
      </c>
      <c r="L16" s="5">
        <f>Table1[[#This Row],[res_time]]*24</f>
        <v>-0.3573055555555556</v>
      </c>
      <c r="M16" s="5">
        <f>AVERAGE(Table1[[#This Row],[resolution_date]])</f>
        <v>8.0069444444444433E-3</v>
      </c>
    </row>
    <row r="17" spans="1:13" x14ac:dyDescent="0.3">
      <c r="A17" s="1" t="s">
        <v>54</v>
      </c>
      <c r="B17" s="3">
        <v>2.3736111111111114E-2</v>
      </c>
      <c r="C17" s="3">
        <v>1.390625E-2</v>
      </c>
      <c r="D17" s="1" t="s">
        <v>13</v>
      </c>
      <c r="E17" s="1" t="s">
        <v>55</v>
      </c>
      <c r="F17" s="1" t="s">
        <v>56</v>
      </c>
      <c r="G17" s="1" t="s">
        <v>11</v>
      </c>
      <c r="H17" s="1" t="str">
        <f>TEXT(Table1[[#This Row],[submission_date]], "dddd")</f>
        <v>Saturday</v>
      </c>
      <c r="I17" s="1" t="str">
        <f>TEXT(Table1[[#This Row],[submission_date]], "mmm-yyyy")</f>
        <v>Jan-1900</v>
      </c>
      <c r="J17" s="1">
        <f>HOUR(Table1[[#This Row],[submission_date]])</f>
        <v>0</v>
      </c>
      <c r="K17" s="5">
        <f>Table1[[#This Row],[resolution_date]] - Table1[[#This Row],[submission_date]]</f>
        <v>-9.8298611111111139E-3</v>
      </c>
      <c r="L17" s="5">
        <f>Table1[[#This Row],[res_time]]*24</f>
        <v>-0.23591666666666672</v>
      </c>
      <c r="M17" s="5">
        <f>AVERAGE(Table1[[#This Row],[resolution_date]])</f>
        <v>1.390625E-2</v>
      </c>
    </row>
    <row r="18" spans="1:13" x14ac:dyDescent="0.3">
      <c r="A18" s="1" t="s">
        <v>57</v>
      </c>
      <c r="B18" s="3">
        <v>3.6171296296296292E-2</v>
      </c>
      <c r="C18" s="3">
        <v>1.311226851851852E-2</v>
      </c>
      <c r="D18" s="1" t="s">
        <v>13</v>
      </c>
      <c r="E18" s="1" t="s">
        <v>35</v>
      </c>
      <c r="F18" s="1" t="s">
        <v>58</v>
      </c>
      <c r="G18" s="1" t="s">
        <v>29</v>
      </c>
      <c r="H18" s="1" t="str">
        <f>TEXT(Table1[[#This Row],[submission_date]], "dddd")</f>
        <v>Saturday</v>
      </c>
      <c r="I18" s="1" t="str">
        <f>TEXT(Table1[[#This Row],[submission_date]], "mmm-yyyy")</f>
        <v>Jan-1900</v>
      </c>
      <c r="J18" s="1">
        <f>HOUR(Table1[[#This Row],[submission_date]])</f>
        <v>0</v>
      </c>
      <c r="K18" s="5">
        <f>Table1[[#This Row],[resolution_date]] - Table1[[#This Row],[submission_date]]</f>
        <v>-2.3059027777777772E-2</v>
      </c>
      <c r="L18" s="5">
        <f>Table1[[#This Row],[res_time]]*24</f>
        <v>-0.55341666666666656</v>
      </c>
      <c r="M18" s="5">
        <f>AVERAGE(Table1[[#This Row],[resolution_date]])</f>
        <v>1.311226851851852E-2</v>
      </c>
    </row>
    <row r="19" spans="1:13" x14ac:dyDescent="0.3">
      <c r="A19" s="1" t="s">
        <v>59</v>
      </c>
      <c r="B19" s="3">
        <v>2.932523148148148E-2</v>
      </c>
      <c r="C19" s="3">
        <v>2.5908564814814815E-2</v>
      </c>
      <c r="D19" s="1" t="s">
        <v>60</v>
      </c>
      <c r="E19" s="1" t="s">
        <v>9</v>
      </c>
      <c r="F19" s="1" t="s">
        <v>61</v>
      </c>
      <c r="G19" s="1" t="s">
        <v>29</v>
      </c>
      <c r="H19" s="1" t="str">
        <f>TEXT(Table1[[#This Row],[submission_date]], "dddd")</f>
        <v>Saturday</v>
      </c>
      <c r="I19" s="1" t="str">
        <f>TEXT(Table1[[#This Row],[submission_date]], "mmm-yyyy")</f>
        <v>Jan-1900</v>
      </c>
      <c r="J19" s="1">
        <f>HOUR(Table1[[#This Row],[submission_date]])</f>
        <v>0</v>
      </c>
      <c r="K19" s="5">
        <f>Table1[[#This Row],[resolution_date]] - Table1[[#This Row],[submission_date]]</f>
        <v>-3.4166666666666651E-3</v>
      </c>
      <c r="L19" s="5">
        <f>Table1[[#This Row],[res_time]]*24</f>
        <v>-8.1999999999999962E-2</v>
      </c>
      <c r="M19" s="5">
        <f>AVERAGE(Table1[[#This Row],[resolution_date]])</f>
        <v>2.5908564814814815E-2</v>
      </c>
    </row>
    <row r="20" spans="1:13" x14ac:dyDescent="0.3">
      <c r="A20" s="1" t="s">
        <v>62</v>
      </c>
      <c r="B20" s="3">
        <v>2.1342592592592594E-3</v>
      </c>
      <c r="C20" s="3">
        <v>3.3623842592592594E-2</v>
      </c>
      <c r="D20" s="1" t="s">
        <v>45</v>
      </c>
      <c r="E20" s="1" t="s">
        <v>22</v>
      </c>
      <c r="F20" s="1" t="s">
        <v>63</v>
      </c>
      <c r="G20" s="1" t="s">
        <v>29</v>
      </c>
      <c r="H20" s="1" t="str">
        <f>TEXT(Table1[[#This Row],[submission_date]], "dddd")</f>
        <v>Saturday</v>
      </c>
      <c r="I20" s="1" t="str">
        <f>TEXT(Table1[[#This Row],[submission_date]], "mmm-yyyy")</f>
        <v>Jan-1900</v>
      </c>
      <c r="J20" s="1">
        <f>HOUR(Table1[[#This Row],[submission_date]])</f>
        <v>0</v>
      </c>
      <c r="K20" s="5">
        <f>Table1[[#This Row],[resolution_date]] - Table1[[#This Row],[submission_date]]</f>
        <v>3.1489583333333335E-2</v>
      </c>
      <c r="L20" s="5">
        <f>Table1[[#This Row],[res_time]]*24</f>
        <v>0.75575000000000003</v>
      </c>
      <c r="M20" s="5">
        <f>AVERAGE(Table1[[#This Row],[resolution_date]])</f>
        <v>3.3623842592592594E-2</v>
      </c>
    </row>
    <row r="21" spans="1:13" x14ac:dyDescent="0.3">
      <c r="A21" s="1" t="s">
        <v>64</v>
      </c>
      <c r="B21" s="3">
        <v>1.8924768518518518E-2</v>
      </c>
      <c r="C21" s="3">
        <v>4.0724537037037038E-2</v>
      </c>
      <c r="D21" s="1" t="s">
        <v>21</v>
      </c>
      <c r="E21" s="1" t="s">
        <v>22</v>
      </c>
      <c r="F21" s="1" t="s">
        <v>65</v>
      </c>
      <c r="G21" s="1" t="s">
        <v>16</v>
      </c>
      <c r="H21" s="1" t="str">
        <f>TEXT(Table1[[#This Row],[submission_date]], "dddd")</f>
        <v>Saturday</v>
      </c>
      <c r="I21" s="1" t="str">
        <f>TEXT(Table1[[#This Row],[submission_date]], "mmm-yyyy")</f>
        <v>Jan-1900</v>
      </c>
      <c r="J21" s="1">
        <f>HOUR(Table1[[#This Row],[submission_date]])</f>
        <v>0</v>
      </c>
      <c r="K21" s="5">
        <f>Table1[[#This Row],[resolution_date]] - Table1[[#This Row],[submission_date]]</f>
        <v>2.179976851851852E-2</v>
      </c>
      <c r="L21" s="5">
        <f>Table1[[#This Row],[res_time]]*24</f>
        <v>0.52319444444444452</v>
      </c>
      <c r="M21" s="5">
        <f>AVERAGE(Table1[[#This Row],[resolution_date]])</f>
        <v>4.0724537037037038E-2</v>
      </c>
    </row>
    <row r="22" spans="1:13" x14ac:dyDescent="0.3">
      <c r="A22" s="1" t="s">
        <v>66</v>
      </c>
      <c r="B22" s="3">
        <v>3.4462962962962959E-2</v>
      </c>
      <c r="C22" s="3">
        <v>4.6319444444444446E-3</v>
      </c>
      <c r="D22" s="1" t="s">
        <v>13</v>
      </c>
      <c r="E22" s="1" t="s">
        <v>14</v>
      </c>
      <c r="F22" s="1" t="s">
        <v>67</v>
      </c>
      <c r="G22" s="1" t="s">
        <v>16</v>
      </c>
      <c r="H22" s="1" t="str">
        <f>TEXT(Table1[[#This Row],[submission_date]], "dddd")</f>
        <v>Saturday</v>
      </c>
      <c r="I22" s="1" t="str">
        <f>TEXT(Table1[[#This Row],[submission_date]], "mmm-yyyy")</f>
        <v>Jan-1900</v>
      </c>
      <c r="J22" s="1">
        <f>HOUR(Table1[[#This Row],[submission_date]])</f>
        <v>0</v>
      </c>
      <c r="K22" s="5">
        <f>Table1[[#This Row],[resolution_date]] - Table1[[#This Row],[submission_date]]</f>
        <v>-2.9831018518518514E-2</v>
      </c>
      <c r="L22" s="5">
        <f>Table1[[#This Row],[res_time]]*24</f>
        <v>-0.71594444444444427</v>
      </c>
      <c r="M22" s="5">
        <f>AVERAGE(Table1[[#This Row],[resolution_date]])</f>
        <v>4.6319444444444446E-3</v>
      </c>
    </row>
    <row r="23" spans="1:13" x14ac:dyDescent="0.3">
      <c r="A23" s="1" t="s">
        <v>68</v>
      </c>
      <c r="B23" s="3">
        <v>2.4268518518518519E-2</v>
      </c>
      <c r="C23" s="3">
        <v>1.750462962962963E-2</v>
      </c>
      <c r="D23" s="1" t="s">
        <v>13</v>
      </c>
      <c r="E23" s="1" t="s">
        <v>9</v>
      </c>
      <c r="F23" s="1" t="s">
        <v>69</v>
      </c>
      <c r="G23" s="1" t="s">
        <v>16</v>
      </c>
      <c r="H23" s="1" t="str">
        <f>TEXT(Table1[[#This Row],[submission_date]], "dddd")</f>
        <v>Saturday</v>
      </c>
      <c r="I23" s="1" t="str">
        <f>TEXT(Table1[[#This Row],[submission_date]], "mmm-yyyy")</f>
        <v>Jan-1900</v>
      </c>
      <c r="J23" s="1">
        <f>HOUR(Table1[[#This Row],[submission_date]])</f>
        <v>0</v>
      </c>
      <c r="K23" s="5">
        <f>Table1[[#This Row],[resolution_date]] - Table1[[#This Row],[submission_date]]</f>
        <v>-6.7638888888888887E-3</v>
      </c>
      <c r="L23" s="5">
        <f>Table1[[#This Row],[res_time]]*24</f>
        <v>-0.16233333333333333</v>
      </c>
      <c r="M23" s="5">
        <f>AVERAGE(Table1[[#This Row],[resolution_date]])</f>
        <v>1.750462962962963E-2</v>
      </c>
    </row>
    <row r="24" spans="1:13" x14ac:dyDescent="0.3">
      <c r="A24" s="1" t="s">
        <v>70</v>
      </c>
      <c r="B24" s="3">
        <v>2.0666666666666667E-2</v>
      </c>
      <c r="C24" s="3">
        <v>2.3776620370370372E-2</v>
      </c>
      <c r="D24" s="1" t="s">
        <v>13</v>
      </c>
      <c r="E24" s="1" t="s">
        <v>42</v>
      </c>
      <c r="F24" s="1" t="s">
        <v>71</v>
      </c>
      <c r="G24" s="1" t="s">
        <v>16</v>
      </c>
      <c r="H24" s="1" t="str">
        <f>TEXT(Table1[[#This Row],[submission_date]], "dddd")</f>
        <v>Saturday</v>
      </c>
      <c r="I24" s="1" t="str">
        <f>TEXT(Table1[[#This Row],[submission_date]], "mmm-yyyy")</f>
        <v>Jan-1900</v>
      </c>
      <c r="J24" s="1">
        <f>HOUR(Table1[[#This Row],[submission_date]])</f>
        <v>0</v>
      </c>
      <c r="K24" s="5">
        <f>Table1[[#This Row],[resolution_date]] - Table1[[#This Row],[submission_date]]</f>
        <v>3.1099537037037051E-3</v>
      </c>
      <c r="L24" s="5">
        <f>Table1[[#This Row],[res_time]]*24</f>
        <v>7.4638888888888921E-2</v>
      </c>
      <c r="M24" s="5">
        <f>AVERAGE(Table1[[#This Row],[resolution_date]])</f>
        <v>2.3776620370370372E-2</v>
      </c>
    </row>
    <row r="25" spans="1:13" x14ac:dyDescent="0.3">
      <c r="A25" s="1" t="s">
        <v>72</v>
      </c>
      <c r="B25" s="3">
        <v>1.9359953703703706E-2</v>
      </c>
      <c r="C25" s="3">
        <v>1.6489583333333335E-2</v>
      </c>
      <c r="D25" s="1" t="s">
        <v>13</v>
      </c>
      <c r="E25" s="1" t="s">
        <v>25</v>
      </c>
      <c r="F25" s="1" t="s">
        <v>73</v>
      </c>
      <c r="G25" s="1" t="s">
        <v>16</v>
      </c>
      <c r="H25" s="1" t="str">
        <f>TEXT(Table1[[#This Row],[submission_date]], "dddd")</f>
        <v>Saturday</v>
      </c>
      <c r="I25" s="1" t="str">
        <f>TEXT(Table1[[#This Row],[submission_date]], "mmm-yyyy")</f>
        <v>Jan-1900</v>
      </c>
      <c r="J25" s="1">
        <f>HOUR(Table1[[#This Row],[submission_date]])</f>
        <v>0</v>
      </c>
      <c r="K25" s="5">
        <f>Table1[[#This Row],[resolution_date]] - Table1[[#This Row],[submission_date]]</f>
        <v>-2.8703703703703703E-3</v>
      </c>
      <c r="L25" s="5">
        <f>Table1[[#This Row],[res_time]]*24</f>
        <v>-6.8888888888888888E-2</v>
      </c>
      <c r="M25" s="5">
        <f>AVERAGE(Table1[[#This Row],[resolution_date]])</f>
        <v>1.6489583333333335E-2</v>
      </c>
    </row>
    <row r="26" spans="1:13" x14ac:dyDescent="0.3">
      <c r="A26" s="1" t="s">
        <v>74</v>
      </c>
      <c r="B26" s="3">
        <v>2.6124999999999999E-2</v>
      </c>
      <c r="C26" s="3">
        <v>2.9572916666666664E-2</v>
      </c>
      <c r="D26" s="1" t="s">
        <v>45</v>
      </c>
      <c r="E26" s="1" t="s">
        <v>22</v>
      </c>
      <c r="F26" s="1" t="s">
        <v>75</v>
      </c>
      <c r="G26" s="1" t="s">
        <v>29</v>
      </c>
      <c r="H26" s="1" t="str">
        <f>TEXT(Table1[[#This Row],[submission_date]], "dddd")</f>
        <v>Saturday</v>
      </c>
      <c r="I26" s="1" t="str">
        <f>TEXT(Table1[[#This Row],[submission_date]], "mmm-yyyy")</f>
        <v>Jan-1900</v>
      </c>
      <c r="J26" s="1">
        <f>HOUR(Table1[[#This Row],[submission_date]])</f>
        <v>0</v>
      </c>
      <c r="K26" s="5">
        <f>Table1[[#This Row],[resolution_date]] - Table1[[#This Row],[submission_date]]</f>
        <v>3.4479166666666651E-3</v>
      </c>
      <c r="L26" s="5">
        <f>Table1[[#This Row],[res_time]]*24</f>
        <v>8.2749999999999962E-2</v>
      </c>
      <c r="M26" s="5">
        <f>AVERAGE(Table1[[#This Row],[resolution_date]])</f>
        <v>2.9572916666666664E-2</v>
      </c>
    </row>
    <row r="27" spans="1:13" x14ac:dyDescent="0.3">
      <c r="A27" s="1" t="s">
        <v>76</v>
      </c>
      <c r="B27" s="3">
        <v>2.9743055555555557E-2</v>
      </c>
      <c r="C27" s="3">
        <v>2.498726851851852E-2</v>
      </c>
      <c r="D27" s="1" t="s">
        <v>13</v>
      </c>
      <c r="E27" s="1" t="s">
        <v>14</v>
      </c>
      <c r="F27" s="1" t="s">
        <v>77</v>
      </c>
      <c r="G27" s="1" t="s">
        <v>16</v>
      </c>
      <c r="H27" s="1" t="str">
        <f>TEXT(Table1[[#This Row],[submission_date]], "dddd")</f>
        <v>Saturday</v>
      </c>
      <c r="I27" s="1" t="str">
        <f>TEXT(Table1[[#This Row],[submission_date]], "mmm-yyyy")</f>
        <v>Jan-1900</v>
      </c>
      <c r="J27" s="1">
        <f>HOUR(Table1[[#This Row],[submission_date]])</f>
        <v>0</v>
      </c>
      <c r="K27" s="5">
        <f>Table1[[#This Row],[resolution_date]] - Table1[[#This Row],[submission_date]]</f>
        <v>-4.7557870370370375E-3</v>
      </c>
      <c r="L27" s="5">
        <f>Table1[[#This Row],[res_time]]*24</f>
        <v>-0.1141388888888889</v>
      </c>
      <c r="M27" s="5">
        <f>AVERAGE(Table1[[#This Row],[resolution_date]])</f>
        <v>2.498726851851852E-2</v>
      </c>
    </row>
    <row r="28" spans="1:13" x14ac:dyDescent="0.3">
      <c r="A28" s="1" t="s">
        <v>78</v>
      </c>
      <c r="B28" s="3">
        <v>1.8649305555555554E-2</v>
      </c>
      <c r="C28" s="3">
        <v>1.0324074074074074E-2</v>
      </c>
      <c r="D28" s="1" t="s">
        <v>45</v>
      </c>
      <c r="E28" s="1" t="s">
        <v>25</v>
      </c>
      <c r="F28" s="1" t="s">
        <v>79</v>
      </c>
      <c r="G28" s="1" t="s">
        <v>11</v>
      </c>
      <c r="H28" s="1" t="str">
        <f>TEXT(Table1[[#This Row],[submission_date]], "dddd")</f>
        <v>Saturday</v>
      </c>
      <c r="I28" s="1" t="str">
        <f>TEXT(Table1[[#This Row],[submission_date]], "mmm-yyyy")</f>
        <v>Jan-1900</v>
      </c>
      <c r="J28" s="1">
        <f>HOUR(Table1[[#This Row],[submission_date]])</f>
        <v>0</v>
      </c>
      <c r="K28" s="5">
        <f>Table1[[#This Row],[resolution_date]] - Table1[[#This Row],[submission_date]]</f>
        <v>-8.3252314814814803E-3</v>
      </c>
      <c r="L28" s="5">
        <f>Table1[[#This Row],[res_time]]*24</f>
        <v>-0.19980555555555551</v>
      </c>
      <c r="M28" s="5">
        <f>AVERAGE(Table1[[#This Row],[resolution_date]])</f>
        <v>1.0324074074074074E-2</v>
      </c>
    </row>
    <row r="29" spans="1:13" x14ac:dyDescent="0.3">
      <c r="A29" s="1" t="s">
        <v>80</v>
      </c>
      <c r="B29" s="3">
        <v>2.020138888888889E-2</v>
      </c>
      <c r="C29" s="3">
        <v>1.0577546296296297E-2</v>
      </c>
      <c r="D29" s="1" t="s">
        <v>81</v>
      </c>
      <c r="E29" s="1" t="s">
        <v>14</v>
      </c>
      <c r="F29" s="1" t="s">
        <v>82</v>
      </c>
      <c r="G29" s="1" t="s">
        <v>16</v>
      </c>
      <c r="H29" s="1" t="str">
        <f>TEXT(Table1[[#This Row],[submission_date]], "dddd")</f>
        <v>Saturday</v>
      </c>
      <c r="I29" s="1" t="str">
        <f>TEXT(Table1[[#This Row],[submission_date]], "mmm-yyyy")</f>
        <v>Jan-1900</v>
      </c>
      <c r="J29" s="1">
        <f>HOUR(Table1[[#This Row],[submission_date]])</f>
        <v>0</v>
      </c>
      <c r="K29" s="5">
        <f>Table1[[#This Row],[resolution_date]] - Table1[[#This Row],[submission_date]]</f>
        <v>-9.6238425925925936E-3</v>
      </c>
      <c r="L29" s="5">
        <f>Table1[[#This Row],[res_time]]*24</f>
        <v>-0.23097222222222225</v>
      </c>
      <c r="M29" s="5">
        <f>AVERAGE(Table1[[#This Row],[resolution_date]])</f>
        <v>1.0577546296296297E-2</v>
      </c>
    </row>
    <row r="30" spans="1:13" x14ac:dyDescent="0.3">
      <c r="A30" s="1" t="s">
        <v>83</v>
      </c>
      <c r="B30" s="3">
        <v>2.0509259259259257E-3</v>
      </c>
      <c r="C30" s="3">
        <v>3.9789351851851854E-2</v>
      </c>
      <c r="D30" s="1" t="s">
        <v>8</v>
      </c>
      <c r="E30" s="1" t="s">
        <v>9</v>
      </c>
      <c r="F30" s="1" t="s">
        <v>84</v>
      </c>
      <c r="G30" s="1" t="s">
        <v>29</v>
      </c>
      <c r="H30" s="1" t="str">
        <f>TEXT(Table1[[#This Row],[submission_date]], "dddd")</f>
        <v>Saturday</v>
      </c>
      <c r="I30" s="1" t="str">
        <f>TEXT(Table1[[#This Row],[submission_date]], "mmm-yyyy")</f>
        <v>Jan-1900</v>
      </c>
      <c r="J30" s="1">
        <f>HOUR(Table1[[#This Row],[submission_date]])</f>
        <v>0</v>
      </c>
      <c r="K30" s="5">
        <f>Table1[[#This Row],[resolution_date]] - Table1[[#This Row],[submission_date]]</f>
        <v>3.7738425925925925E-2</v>
      </c>
      <c r="L30" s="5">
        <f>Table1[[#This Row],[res_time]]*24</f>
        <v>0.90572222222222221</v>
      </c>
      <c r="M30" s="5">
        <f>AVERAGE(Table1[[#This Row],[resolution_date]])</f>
        <v>3.9789351851851854E-2</v>
      </c>
    </row>
    <row r="31" spans="1:13" x14ac:dyDescent="0.3">
      <c r="A31" s="1" t="s">
        <v>85</v>
      </c>
      <c r="B31" s="3">
        <v>3.9734953703703703E-2</v>
      </c>
      <c r="C31" s="3">
        <v>2.7047453703703705E-2</v>
      </c>
      <c r="D31" s="1" t="s">
        <v>13</v>
      </c>
      <c r="E31" s="1" t="s">
        <v>18</v>
      </c>
      <c r="F31" s="1" t="s">
        <v>86</v>
      </c>
      <c r="G31" s="1" t="s">
        <v>16</v>
      </c>
      <c r="H31" s="1" t="str">
        <f>TEXT(Table1[[#This Row],[submission_date]], "dddd")</f>
        <v>Saturday</v>
      </c>
      <c r="I31" s="1" t="str">
        <f>TEXT(Table1[[#This Row],[submission_date]], "mmm-yyyy")</f>
        <v>Jan-1900</v>
      </c>
      <c r="J31" s="1">
        <f>HOUR(Table1[[#This Row],[submission_date]])</f>
        <v>0</v>
      </c>
      <c r="K31" s="5">
        <f>Table1[[#This Row],[resolution_date]] - Table1[[#This Row],[submission_date]]</f>
        <v>-1.2687499999999997E-2</v>
      </c>
      <c r="L31" s="5">
        <f>Table1[[#This Row],[res_time]]*24</f>
        <v>-0.30449999999999994</v>
      </c>
      <c r="M31" s="5">
        <f>AVERAGE(Table1[[#This Row],[resolution_date]])</f>
        <v>2.7047453703703705E-2</v>
      </c>
    </row>
    <row r="32" spans="1:13" x14ac:dyDescent="0.3">
      <c r="A32" s="1" t="s">
        <v>87</v>
      </c>
      <c r="B32" s="3">
        <v>1.1857638888888888E-2</v>
      </c>
      <c r="C32" s="3">
        <v>2.651736111111111E-2</v>
      </c>
      <c r="D32" s="1" t="s">
        <v>45</v>
      </c>
      <c r="E32" s="1" t="s">
        <v>18</v>
      </c>
      <c r="F32" s="1" t="s">
        <v>88</v>
      </c>
      <c r="G32" s="1" t="s">
        <v>29</v>
      </c>
      <c r="H32" s="1" t="str">
        <f>TEXT(Table1[[#This Row],[submission_date]], "dddd")</f>
        <v>Saturday</v>
      </c>
      <c r="I32" s="1" t="str">
        <f>TEXT(Table1[[#This Row],[submission_date]], "mmm-yyyy")</f>
        <v>Jan-1900</v>
      </c>
      <c r="J32" s="1">
        <f>HOUR(Table1[[#This Row],[submission_date]])</f>
        <v>0</v>
      </c>
      <c r="K32" s="5">
        <f>Table1[[#This Row],[resolution_date]] - Table1[[#This Row],[submission_date]]</f>
        <v>1.4659722222222222E-2</v>
      </c>
      <c r="L32" s="5">
        <f>Table1[[#This Row],[res_time]]*24</f>
        <v>0.35183333333333333</v>
      </c>
      <c r="M32" s="5">
        <f>AVERAGE(Table1[[#This Row],[resolution_date]])</f>
        <v>2.651736111111111E-2</v>
      </c>
    </row>
    <row r="33" spans="1:13" x14ac:dyDescent="0.3">
      <c r="A33" s="1" t="s">
        <v>89</v>
      </c>
      <c r="B33" s="3">
        <v>4.0944444444444443E-2</v>
      </c>
      <c r="C33" s="3">
        <v>2.4526620370370369E-2</v>
      </c>
      <c r="D33" s="1" t="s">
        <v>13</v>
      </c>
      <c r="E33" s="1" t="s">
        <v>14</v>
      </c>
      <c r="F33" s="1" t="s">
        <v>90</v>
      </c>
      <c r="G33" s="1" t="s">
        <v>11</v>
      </c>
      <c r="H33" s="1" t="str">
        <f>TEXT(Table1[[#This Row],[submission_date]], "dddd")</f>
        <v>Saturday</v>
      </c>
      <c r="I33" s="1" t="str">
        <f>TEXT(Table1[[#This Row],[submission_date]], "mmm-yyyy")</f>
        <v>Jan-1900</v>
      </c>
      <c r="J33" s="1">
        <f>HOUR(Table1[[#This Row],[submission_date]])</f>
        <v>0</v>
      </c>
      <c r="K33" s="5">
        <f>Table1[[#This Row],[resolution_date]] - Table1[[#This Row],[submission_date]]</f>
        <v>-1.6417824074074074E-2</v>
      </c>
      <c r="L33" s="5">
        <f>Table1[[#This Row],[res_time]]*24</f>
        <v>-0.39402777777777775</v>
      </c>
      <c r="M33" s="5">
        <f>AVERAGE(Table1[[#This Row],[resolution_date]])</f>
        <v>2.4526620370370369E-2</v>
      </c>
    </row>
    <row r="34" spans="1:13" x14ac:dyDescent="0.3">
      <c r="A34" s="1" t="s">
        <v>91</v>
      </c>
      <c r="B34" s="3">
        <v>7.3923611111111117E-3</v>
      </c>
      <c r="C34" s="3">
        <v>2.821527777777778E-2</v>
      </c>
      <c r="D34" s="1" t="s">
        <v>45</v>
      </c>
      <c r="E34" s="1" t="s">
        <v>35</v>
      </c>
      <c r="F34" s="1" t="s">
        <v>92</v>
      </c>
      <c r="G34" s="1" t="s">
        <v>29</v>
      </c>
      <c r="H34" s="1" t="str">
        <f>TEXT(Table1[[#This Row],[submission_date]], "dddd")</f>
        <v>Saturday</v>
      </c>
      <c r="I34" s="1" t="str">
        <f>TEXT(Table1[[#This Row],[submission_date]], "mmm-yyyy")</f>
        <v>Jan-1900</v>
      </c>
      <c r="J34" s="1">
        <f>HOUR(Table1[[#This Row],[submission_date]])</f>
        <v>0</v>
      </c>
      <c r="K34" s="5">
        <f>Table1[[#This Row],[resolution_date]] - Table1[[#This Row],[submission_date]]</f>
        <v>2.082291666666667E-2</v>
      </c>
      <c r="L34" s="5">
        <f>Table1[[#This Row],[res_time]]*24</f>
        <v>0.49975000000000008</v>
      </c>
      <c r="M34" s="5">
        <f>AVERAGE(Table1[[#This Row],[resolution_date]])</f>
        <v>2.821527777777778E-2</v>
      </c>
    </row>
    <row r="35" spans="1:13" x14ac:dyDescent="0.3">
      <c r="A35" s="1" t="s">
        <v>93</v>
      </c>
      <c r="B35" s="3">
        <v>2.2946759259259257E-2</v>
      </c>
      <c r="C35" s="3">
        <v>1.9989583333333331E-2</v>
      </c>
      <c r="D35" s="1" t="s">
        <v>81</v>
      </c>
      <c r="E35" s="1" t="s">
        <v>32</v>
      </c>
      <c r="F35" s="1" t="s">
        <v>94</v>
      </c>
      <c r="G35" s="1" t="s">
        <v>29</v>
      </c>
      <c r="H35" s="1" t="str">
        <f>TEXT(Table1[[#This Row],[submission_date]], "dddd")</f>
        <v>Saturday</v>
      </c>
      <c r="I35" s="1" t="str">
        <f>TEXT(Table1[[#This Row],[submission_date]], "mmm-yyyy")</f>
        <v>Jan-1900</v>
      </c>
      <c r="J35" s="1">
        <f>HOUR(Table1[[#This Row],[submission_date]])</f>
        <v>0</v>
      </c>
      <c r="K35" s="5">
        <f>Table1[[#This Row],[resolution_date]] - Table1[[#This Row],[submission_date]]</f>
        <v>-2.9571759259259256E-3</v>
      </c>
      <c r="L35" s="5">
        <f>Table1[[#This Row],[res_time]]*24</f>
        <v>-7.0972222222222214E-2</v>
      </c>
      <c r="M35" s="5">
        <f>AVERAGE(Table1[[#This Row],[resolution_date]])</f>
        <v>1.9989583333333331E-2</v>
      </c>
    </row>
    <row r="36" spans="1:13" x14ac:dyDescent="0.3">
      <c r="A36" s="1" t="s">
        <v>95</v>
      </c>
      <c r="B36" s="3">
        <v>4.2627314814814819E-3</v>
      </c>
      <c r="C36" s="3">
        <v>3.010300925925926E-2</v>
      </c>
      <c r="D36" s="1" t="s">
        <v>13</v>
      </c>
      <c r="E36" s="1" t="s">
        <v>25</v>
      </c>
      <c r="F36" s="1" t="s">
        <v>96</v>
      </c>
      <c r="G36" s="1" t="s">
        <v>29</v>
      </c>
      <c r="H36" s="1" t="str">
        <f>TEXT(Table1[[#This Row],[submission_date]], "dddd")</f>
        <v>Saturday</v>
      </c>
      <c r="I36" s="1" t="str">
        <f>TEXT(Table1[[#This Row],[submission_date]], "mmm-yyyy")</f>
        <v>Jan-1900</v>
      </c>
      <c r="J36" s="1">
        <f>HOUR(Table1[[#This Row],[submission_date]])</f>
        <v>0</v>
      </c>
      <c r="K36" s="5">
        <f>Table1[[#This Row],[resolution_date]] - Table1[[#This Row],[submission_date]]</f>
        <v>2.5840277777777778E-2</v>
      </c>
      <c r="L36" s="5">
        <f>Table1[[#This Row],[res_time]]*24</f>
        <v>0.62016666666666664</v>
      </c>
      <c r="M36" s="5">
        <f>AVERAGE(Table1[[#This Row],[resolution_date]])</f>
        <v>3.010300925925926E-2</v>
      </c>
    </row>
    <row r="37" spans="1:13" x14ac:dyDescent="0.3">
      <c r="A37" s="1" t="s">
        <v>97</v>
      </c>
      <c r="B37" s="3">
        <v>3.3365740740740744E-2</v>
      </c>
      <c r="C37" s="3">
        <v>2.554398148148148E-2</v>
      </c>
      <c r="D37" s="1" t="s">
        <v>21</v>
      </c>
      <c r="E37" s="1" t="s">
        <v>14</v>
      </c>
      <c r="F37" s="1" t="s">
        <v>98</v>
      </c>
      <c r="G37" s="1" t="s">
        <v>29</v>
      </c>
      <c r="H37" s="1" t="str">
        <f>TEXT(Table1[[#This Row],[submission_date]], "dddd")</f>
        <v>Saturday</v>
      </c>
      <c r="I37" s="1" t="str">
        <f>TEXT(Table1[[#This Row],[submission_date]], "mmm-yyyy")</f>
        <v>Jan-1900</v>
      </c>
      <c r="J37" s="1">
        <f>HOUR(Table1[[#This Row],[submission_date]])</f>
        <v>0</v>
      </c>
      <c r="K37" s="5">
        <f>Table1[[#This Row],[resolution_date]] - Table1[[#This Row],[submission_date]]</f>
        <v>-7.8217592592592644E-3</v>
      </c>
      <c r="L37" s="5">
        <f>Table1[[#This Row],[res_time]]*24</f>
        <v>-0.18772222222222235</v>
      </c>
      <c r="M37" s="5">
        <f>AVERAGE(Table1[[#This Row],[resolution_date]])</f>
        <v>2.554398148148148E-2</v>
      </c>
    </row>
    <row r="38" spans="1:13" x14ac:dyDescent="0.3">
      <c r="A38" s="1" t="s">
        <v>99</v>
      </c>
      <c r="B38" s="3">
        <v>3.2245370370370369E-2</v>
      </c>
      <c r="C38" s="3">
        <v>1.3069444444444444E-2</v>
      </c>
      <c r="D38" s="1" t="s">
        <v>13</v>
      </c>
      <c r="E38" s="1" t="s">
        <v>46</v>
      </c>
      <c r="F38" s="1" t="s">
        <v>100</v>
      </c>
      <c r="G38" s="1" t="s">
        <v>29</v>
      </c>
      <c r="H38" s="1" t="str">
        <f>TEXT(Table1[[#This Row],[submission_date]], "dddd")</f>
        <v>Saturday</v>
      </c>
      <c r="I38" s="1" t="str">
        <f>TEXT(Table1[[#This Row],[submission_date]], "mmm-yyyy")</f>
        <v>Jan-1900</v>
      </c>
      <c r="J38" s="1">
        <f>HOUR(Table1[[#This Row],[submission_date]])</f>
        <v>0</v>
      </c>
      <c r="K38" s="5">
        <f>Table1[[#This Row],[resolution_date]] - Table1[[#This Row],[submission_date]]</f>
        <v>-1.9175925925925923E-2</v>
      </c>
      <c r="L38" s="5">
        <f>Table1[[#This Row],[res_time]]*24</f>
        <v>-0.46022222222222214</v>
      </c>
      <c r="M38" s="5">
        <f>AVERAGE(Table1[[#This Row],[resolution_date]])</f>
        <v>1.3069444444444444E-2</v>
      </c>
    </row>
    <row r="39" spans="1:13" x14ac:dyDescent="0.3">
      <c r="A39" s="1" t="s">
        <v>101</v>
      </c>
      <c r="B39" s="3">
        <v>3.9304398148148151E-2</v>
      </c>
      <c r="C39" s="3">
        <v>5.0821759259259266E-3</v>
      </c>
      <c r="D39" s="1" t="s">
        <v>8</v>
      </c>
      <c r="E39" s="1" t="s">
        <v>42</v>
      </c>
      <c r="F39" s="1" t="s">
        <v>102</v>
      </c>
      <c r="G39" s="1" t="s">
        <v>29</v>
      </c>
      <c r="H39" s="1" t="str">
        <f>TEXT(Table1[[#This Row],[submission_date]], "dddd")</f>
        <v>Saturday</v>
      </c>
      <c r="I39" s="1" t="str">
        <f>TEXT(Table1[[#This Row],[submission_date]], "mmm-yyyy")</f>
        <v>Jan-1900</v>
      </c>
      <c r="J39" s="1">
        <f>HOUR(Table1[[#This Row],[submission_date]])</f>
        <v>0</v>
      </c>
      <c r="K39" s="5">
        <f>Table1[[#This Row],[resolution_date]] - Table1[[#This Row],[submission_date]]</f>
        <v>-3.4222222222222223E-2</v>
      </c>
      <c r="L39" s="5">
        <f>Table1[[#This Row],[res_time]]*24</f>
        <v>-0.82133333333333336</v>
      </c>
      <c r="M39" s="5">
        <f>AVERAGE(Table1[[#This Row],[resolution_date]])</f>
        <v>5.0821759259259266E-3</v>
      </c>
    </row>
    <row r="40" spans="1:13" x14ac:dyDescent="0.3">
      <c r="A40" s="1" t="s">
        <v>103</v>
      </c>
      <c r="B40" s="3">
        <v>1.4028935185185184E-2</v>
      </c>
      <c r="C40" s="3">
        <v>2.9909722222222219E-2</v>
      </c>
      <c r="D40" s="1" t="s">
        <v>13</v>
      </c>
      <c r="E40" s="1" t="s">
        <v>32</v>
      </c>
      <c r="F40" s="1" t="s">
        <v>104</v>
      </c>
      <c r="G40" s="1" t="s">
        <v>16</v>
      </c>
      <c r="H40" s="1" t="str">
        <f>TEXT(Table1[[#This Row],[submission_date]], "dddd")</f>
        <v>Saturday</v>
      </c>
      <c r="I40" s="1" t="str">
        <f>TEXT(Table1[[#This Row],[submission_date]], "mmm-yyyy")</f>
        <v>Jan-1900</v>
      </c>
      <c r="J40" s="1">
        <f>HOUR(Table1[[#This Row],[submission_date]])</f>
        <v>0</v>
      </c>
      <c r="K40" s="5">
        <f>Table1[[#This Row],[resolution_date]] - Table1[[#This Row],[submission_date]]</f>
        <v>1.5880787037037034E-2</v>
      </c>
      <c r="L40" s="5">
        <f>Table1[[#This Row],[res_time]]*24</f>
        <v>0.3811388888888888</v>
      </c>
      <c r="M40" s="5">
        <f>AVERAGE(Table1[[#This Row],[resolution_date]])</f>
        <v>2.9909722222222219E-2</v>
      </c>
    </row>
    <row r="41" spans="1:13" x14ac:dyDescent="0.3">
      <c r="A41" s="1" t="s">
        <v>105</v>
      </c>
      <c r="B41" s="3">
        <v>2.0915509259259259E-2</v>
      </c>
      <c r="C41" s="3">
        <v>3.0769675925925926E-2</v>
      </c>
      <c r="D41" s="1" t="s">
        <v>31</v>
      </c>
      <c r="E41" s="1" t="s">
        <v>35</v>
      </c>
      <c r="F41" s="1" t="s">
        <v>106</v>
      </c>
      <c r="G41" s="1" t="s">
        <v>16</v>
      </c>
      <c r="H41" s="1" t="str">
        <f>TEXT(Table1[[#This Row],[submission_date]], "dddd")</f>
        <v>Saturday</v>
      </c>
      <c r="I41" s="1" t="str">
        <f>TEXT(Table1[[#This Row],[submission_date]], "mmm-yyyy")</f>
        <v>Jan-1900</v>
      </c>
      <c r="J41" s="1">
        <f>HOUR(Table1[[#This Row],[submission_date]])</f>
        <v>0</v>
      </c>
      <c r="K41" s="5">
        <f>Table1[[#This Row],[resolution_date]] - Table1[[#This Row],[submission_date]]</f>
        <v>9.8541666666666673E-3</v>
      </c>
      <c r="L41" s="5">
        <f>Table1[[#This Row],[res_time]]*24</f>
        <v>0.23650000000000002</v>
      </c>
      <c r="M41" s="5">
        <f>AVERAGE(Table1[[#This Row],[resolution_date]])</f>
        <v>3.0769675925925926E-2</v>
      </c>
    </row>
    <row r="42" spans="1:13" x14ac:dyDescent="0.3">
      <c r="A42" s="1" t="s">
        <v>107</v>
      </c>
      <c r="B42" s="3">
        <v>3.4475694444444441E-2</v>
      </c>
      <c r="C42" s="3">
        <v>4.1287037037037032E-2</v>
      </c>
      <c r="D42" s="1" t="s">
        <v>45</v>
      </c>
      <c r="E42" s="1" t="s">
        <v>9</v>
      </c>
      <c r="F42" s="1" t="s">
        <v>108</v>
      </c>
      <c r="G42" s="1" t="s">
        <v>16</v>
      </c>
      <c r="H42" s="1" t="str">
        <f>TEXT(Table1[[#This Row],[submission_date]], "dddd")</f>
        <v>Saturday</v>
      </c>
      <c r="I42" s="1" t="str">
        <f>TEXT(Table1[[#This Row],[submission_date]], "mmm-yyyy")</f>
        <v>Jan-1900</v>
      </c>
      <c r="J42" s="1">
        <f>HOUR(Table1[[#This Row],[submission_date]])</f>
        <v>0</v>
      </c>
      <c r="K42" s="5">
        <f>Table1[[#This Row],[resolution_date]] - Table1[[#This Row],[submission_date]]</f>
        <v>6.8113425925925911E-3</v>
      </c>
      <c r="L42" s="5">
        <f>Table1[[#This Row],[res_time]]*24</f>
        <v>0.16347222222222219</v>
      </c>
      <c r="M42" s="5">
        <f>AVERAGE(Table1[[#This Row],[resolution_date]])</f>
        <v>4.1287037037037032E-2</v>
      </c>
    </row>
    <row r="43" spans="1:13" x14ac:dyDescent="0.3">
      <c r="A43" s="1" t="s">
        <v>109</v>
      </c>
      <c r="B43" s="3">
        <v>1.8400462962962962E-2</v>
      </c>
      <c r="C43" s="3">
        <v>1.5729166666666666E-2</v>
      </c>
      <c r="D43" s="1" t="s">
        <v>21</v>
      </c>
      <c r="E43" s="1" t="s">
        <v>14</v>
      </c>
      <c r="F43" s="1" t="s">
        <v>110</v>
      </c>
      <c r="G43" s="1" t="s">
        <v>29</v>
      </c>
      <c r="H43" s="1" t="str">
        <f>TEXT(Table1[[#This Row],[submission_date]], "dddd")</f>
        <v>Saturday</v>
      </c>
      <c r="I43" s="1" t="str">
        <f>TEXT(Table1[[#This Row],[submission_date]], "mmm-yyyy")</f>
        <v>Jan-1900</v>
      </c>
      <c r="J43" s="1">
        <f>HOUR(Table1[[#This Row],[submission_date]])</f>
        <v>0</v>
      </c>
      <c r="K43" s="5">
        <f>Table1[[#This Row],[resolution_date]] - Table1[[#This Row],[submission_date]]</f>
        <v>-2.6712962962962966E-3</v>
      </c>
      <c r="L43" s="5">
        <f>Table1[[#This Row],[res_time]]*24</f>
        <v>-6.4111111111111119E-2</v>
      </c>
      <c r="M43" s="5">
        <f>AVERAGE(Table1[[#This Row],[resolution_date]])</f>
        <v>1.5729166666666666E-2</v>
      </c>
    </row>
    <row r="44" spans="1:13" ht="86.4" x14ac:dyDescent="0.3">
      <c r="A44" s="1" t="s">
        <v>111</v>
      </c>
      <c r="B44" s="3">
        <v>2.9443287037037039E-2</v>
      </c>
      <c r="C44" s="3">
        <v>3.1018518518518521E-4</v>
      </c>
      <c r="D44" s="1" t="s">
        <v>81</v>
      </c>
      <c r="E44" s="1" t="s">
        <v>55</v>
      </c>
      <c r="F44" s="2" t="s">
        <v>112</v>
      </c>
      <c r="G44" s="1" t="s">
        <v>29</v>
      </c>
      <c r="H44" s="1" t="str">
        <f>TEXT(Table1[[#This Row],[submission_date]], "dddd")</f>
        <v>Saturday</v>
      </c>
      <c r="I44" s="1" t="str">
        <f>TEXT(Table1[[#This Row],[submission_date]], "mmm-yyyy")</f>
        <v>Jan-1900</v>
      </c>
      <c r="J44" s="1">
        <f>HOUR(Table1[[#This Row],[submission_date]])</f>
        <v>0</v>
      </c>
      <c r="K44" s="5">
        <f>Table1[[#This Row],[resolution_date]] - Table1[[#This Row],[submission_date]]</f>
        <v>-2.9133101851851854E-2</v>
      </c>
      <c r="L44" s="5">
        <f>Table1[[#This Row],[res_time]]*24</f>
        <v>-0.69919444444444445</v>
      </c>
      <c r="M44" s="5">
        <f>AVERAGE(Table1[[#This Row],[resolution_date]])</f>
        <v>3.1018518518518521E-4</v>
      </c>
    </row>
    <row r="45" spans="1:13" x14ac:dyDescent="0.3">
      <c r="A45" s="1" t="s">
        <v>113</v>
      </c>
      <c r="B45" s="3">
        <v>2.607175925925926E-2</v>
      </c>
      <c r="C45" s="3">
        <v>6.7627314814814807E-3</v>
      </c>
      <c r="D45" s="1" t="s">
        <v>13</v>
      </c>
      <c r="E45" s="1" t="s">
        <v>35</v>
      </c>
      <c r="F45" s="1" t="s">
        <v>114</v>
      </c>
      <c r="G45" s="1" t="s">
        <v>115</v>
      </c>
      <c r="H45" s="1" t="str">
        <f>TEXT(Table1[[#This Row],[submission_date]], "dddd")</f>
        <v>Saturday</v>
      </c>
      <c r="I45" s="1" t="str">
        <f>TEXT(Table1[[#This Row],[submission_date]], "mmm-yyyy")</f>
        <v>Jan-1900</v>
      </c>
      <c r="J45" s="1">
        <f>HOUR(Table1[[#This Row],[submission_date]])</f>
        <v>0</v>
      </c>
      <c r="K45" s="5">
        <f>Table1[[#This Row],[resolution_date]] - Table1[[#This Row],[submission_date]]</f>
        <v>-1.9309027777777779E-2</v>
      </c>
      <c r="L45" s="5">
        <f>Table1[[#This Row],[res_time]]*24</f>
        <v>-0.4634166666666667</v>
      </c>
      <c r="M45" s="5">
        <f>AVERAGE(Table1[[#This Row],[resolution_date]])</f>
        <v>6.7627314814814807E-3</v>
      </c>
    </row>
    <row r="46" spans="1:13" x14ac:dyDescent="0.3">
      <c r="A46" s="1" t="s">
        <v>116</v>
      </c>
      <c r="B46" s="3">
        <v>1.7708333333333332E-3</v>
      </c>
      <c r="C46" s="3">
        <v>7.224537037037038E-3</v>
      </c>
      <c r="D46" s="1" t="s">
        <v>21</v>
      </c>
      <c r="E46" s="1" t="s">
        <v>32</v>
      </c>
      <c r="F46" s="1" t="s">
        <v>117</v>
      </c>
      <c r="G46" s="1" t="s">
        <v>11</v>
      </c>
      <c r="H46" s="1" t="str">
        <f>TEXT(Table1[[#This Row],[submission_date]], "dddd")</f>
        <v>Saturday</v>
      </c>
      <c r="I46" s="1" t="str">
        <f>TEXT(Table1[[#This Row],[submission_date]], "mmm-yyyy")</f>
        <v>Jan-1900</v>
      </c>
      <c r="J46" s="1">
        <f>HOUR(Table1[[#This Row],[submission_date]])</f>
        <v>0</v>
      </c>
      <c r="K46" s="5">
        <f>Table1[[#This Row],[resolution_date]] - Table1[[#This Row],[submission_date]]</f>
        <v>5.4537037037037045E-3</v>
      </c>
      <c r="L46" s="5">
        <f>Table1[[#This Row],[res_time]]*24</f>
        <v>0.13088888888888892</v>
      </c>
      <c r="M46" s="5">
        <f>AVERAGE(Table1[[#This Row],[resolution_date]])</f>
        <v>7.224537037037038E-3</v>
      </c>
    </row>
    <row r="47" spans="1:13" x14ac:dyDescent="0.3">
      <c r="A47" s="1" t="s">
        <v>118</v>
      </c>
      <c r="B47" s="3">
        <v>2.909490740740741E-2</v>
      </c>
      <c r="C47" s="3">
        <v>3.4375E-3</v>
      </c>
      <c r="D47" s="1" t="s">
        <v>13</v>
      </c>
      <c r="E47" s="1" t="s">
        <v>14</v>
      </c>
      <c r="F47" s="1" t="s">
        <v>119</v>
      </c>
      <c r="G47" s="1" t="s">
        <v>11</v>
      </c>
      <c r="H47" s="1" t="str">
        <f>TEXT(Table1[[#This Row],[submission_date]], "dddd")</f>
        <v>Saturday</v>
      </c>
      <c r="I47" s="1" t="str">
        <f>TEXT(Table1[[#This Row],[submission_date]], "mmm-yyyy")</f>
        <v>Jan-1900</v>
      </c>
      <c r="J47" s="1">
        <f>HOUR(Table1[[#This Row],[submission_date]])</f>
        <v>0</v>
      </c>
      <c r="K47" s="5">
        <f>Table1[[#This Row],[resolution_date]] - Table1[[#This Row],[submission_date]]</f>
        <v>-2.565740740740741E-2</v>
      </c>
      <c r="L47" s="5">
        <f>Table1[[#This Row],[res_time]]*24</f>
        <v>-0.61577777777777787</v>
      </c>
      <c r="M47" s="5">
        <f>AVERAGE(Table1[[#This Row],[resolution_date]])</f>
        <v>3.4375E-3</v>
      </c>
    </row>
    <row r="48" spans="1:13" x14ac:dyDescent="0.3">
      <c r="A48" s="1" t="s">
        <v>120</v>
      </c>
      <c r="B48" s="3">
        <v>2.992708333333333E-2</v>
      </c>
      <c r="C48" s="3">
        <v>2.9152777777777781E-2</v>
      </c>
      <c r="D48" s="1" t="s">
        <v>45</v>
      </c>
      <c r="E48" s="1" t="s">
        <v>25</v>
      </c>
      <c r="F48" s="1" t="s">
        <v>121</v>
      </c>
      <c r="G48" s="1" t="s">
        <v>16</v>
      </c>
      <c r="H48" s="1" t="str">
        <f>TEXT(Table1[[#This Row],[submission_date]], "dddd")</f>
        <v>Saturday</v>
      </c>
      <c r="I48" s="1" t="str">
        <f>TEXT(Table1[[#This Row],[submission_date]], "mmm-yyyy")</f>
        <v>Jan-1900</v>
      </c>
      <c r="J48" s="1">
        <f>HOUR(Table1[[#This Row],[submission_date]])</f>
        <v>0</v>
      </c>
      <c r="K48" s="5">
        <f>Table1[[#This Row],[resolution_date]] - Table1[[#This Row],[submission_date]]</f>
        <v>-7.7430555555554892E-4</v>
      </c>
      <c r="L48" s="5">
        <f>Table1[[#This Row],[res_time]]*24</f>
        <v>-1.8583333333333174E-2</v>
      </c>
      <c r="M48" s="5">
        <f>AVERAGE(Table1[[#This Row],[resolution_date]])</f>
        <v>2.9152777777777781E-2</v>
      </c>
    </row>
    <row r="49" spans="1:13" x14ac:dyDescent="0.3">
      <c r="A49" s="1" t="s">
        <v>122</v>
      </c>
      <c r="B49" s="3">
        <v>1.6442129629629629E-2</v>
      </c>
      <c r="C49" s="3">
        <v>3.9807870370370368E-2</v>
      </c>
      <c r="D49" s="1" t="s">
        <v>31</v>
      </c>
      <c r="E49" s="1" t="s">
        <v>14</v>
      </c>
      <c r="F49" s="1" t="s">
        <v>123</v>
      </c>
      <c r="G49" s="1" t="s">
        <v>29</v>
      </c>
      <c r="H49" s="1" t="str">
        <f>TEXT(Table1[[#This Row],[submission_date]], "dddd")</f>
        <v>Saturday</v>
      </c>
      <c r="I49" s="1" t="str">
        <f>TEXT(Table1[[#This Row],[submission_date]], "mmm-yyyy")</f>
        <v>Jan-1900</v>
      </c>
      <c r="J49" s="1">
        <f>HOUR(Table1[[#This Row],[submission_date]])</f>
        <v>0</v>
      </c>
      <c r="K49" s="5">
        <f>Table1[[#This Row],[resolution_date]] - Table1[[#This Row],[submission_date]]</f>
        <v>2.3365740740740739E-2</v>
      </c>
      <c r="L49" s="5">
        <f>Table1[[#This Row],[res_time]]*24</f>
        <v>0.56077777777777771</v>
      </c>
      <c r="M49" s="5">
        <f>AVERAGE(Table1[[#This Row],[resolution_date]])</f>
        <v>3.9807870370370368E-2</v>
      </c>
    </row>
    <row r="50" spans="1:13" x14ac:dyDescent="0.3">
      <c r="A50" s="1" t="s">
        <v>124</v>
      </c>
      <c r="B50" s="3">
        <v>8.8333333333333337E-3</v>
      </c>
      <c r="C50" s="3">
        <v>2.7714120370370372E-2</v>
      </c>
      <c r="D50" s="1" t="s">
        <v>45</v>
      </c>
      <c r="E50" s="1" t="s">
        <v>14</v>
      </c>
      <c r="F50" s="1" t="s">
        <v>125</v>
      </c>
      <c r="G50" s="1" t="s">
        <v>16</v>
      </c>
      <c r="H50" s="1" t="str">
        <f>TEXT(Table1[[#This Row],[submission_date]], "dddd")</f>
        <v>Saturday</v>
      </c>
      <c r="I50" s="1" t="str">
        <f>TEXT(Table1[[#This Row],[submission_date]], "mmm-yyyy")</f>
        <v>Jan-1900</v>
      </c>
      <c r="J50" s="1">
        <f>HOUR(Table1[[#This Row],[submission_date]])</f>
        <v>0</v>
      </c>
      <c r="K50" s="5">
        <f>Table1[[#This Row],[resolution_date]] - Table1[[#This Row],[submission_date]]</f>
        <v>1.8880787037037036E-2</v>
      </c>
      <c r="L50" s="5">
        <f>Table1[[#This Row],[res_time]]*24</f>
        <v>0.45313888888888887</v>
      </c>
      <c r="M50" s="5">
        <f>AVERAGE(Table1[[#This Row],[resolution_date]])</f>
        <v>2.7714120370370372E-2</v>
      </c>
    </row>
    <row r="51" spans="1:13" x14ac:dyDescent="0.3">
      <c r="A51" s="1" t="s">
        <v>126</v>
      </c>
      <c r="B51" s="3">
        <v>3.5638888888888887E-2</v>
      </c>
      <c r="C51" s="3">
        <v>2.2752314814814815E-2</v>
      </c>
      <c r="D51" s="1" t="s">
        <v>45</v>
      </c>
      <c r="E51" s="1" t="s">
        <v>14</v>
      </c>
      <c r="F51" s="1" t="s">
        <v>127</v>
      </c>
      <c r="G51" s="1" t="s">
        <v>16</v>
      </c>
      <c r="H51" s="1" t="str">
        <f>TEXT(Table1[[#This Row],[submission_date]], "dddd")</f>
        <v>Saturday</v>
      </c>
      <c r="I51" s="1" t="str">
        <f>TEXT(Table1[[#This Row],[submission_date]], "mmm-yyyy")</f>
        <v>Jan-1900</v>
      </c>
      <c r="J51" s="1">
        <f>HOUR(Table1[[#This Row],[submission_date]])</f>
        <v>0</v>
      </c>
      <c r="K51" s="5">
        <f>Table1[[#This Row],[resolution_date]] - Table1[[#This Row],[submission_date]]</f>
        <v>-1.2886574074074071E-2</v>
      </c>
      <c r="L51" s="5">
        <f>Table1[[#This Row],[res_time]]*24</f>
        <v>-0.30927777777777771</v>
      </c>
      <c r="M51" s="5">
        <f>AVERAGE(Table1[[#This Row],[resolution_date]])</f>
        <v>2.2752314814814815E-2</v>
      </c>
    </row>
    <row r="52" spans="1:13" x14ac:dyDescent="0.3">
      <c r="A52" s="1" t="s">
        <v>128</v>
      </c>
      <c r="B52" s="3">
        <v>1.5765046296296294E-2</v>
      </c>
      <c r="C52" s="3">
        <v>6.875E-3</v>
      </c>
      <c r="D52" s="1" t="s">
        <v>8</v>
      </c>
      <c r="E52" s="1" t="s">
        <v>22</v>
      </c>
      <c r="F52" s="1" t="s">
        <v>129</v>
      </c>
      <c r="G52" s="1" t="s">
        <v>29</v>
      </c>
      <c r="H52" s="1" t="str">
        <f>TEXT(Table1[[#This Row],[submission_date]], "dddd")</f>
        <v>Saturday</v>
      </c>
      <c r="I52" s="1" t="str">
        <f>TEXT(Table1[[#This Row],[submission_date]], "mmm-yyyy")</f>
        <v>Jan-1900</v>
      </c>
      <c r="J52" s="1">
        <f>HOUR(Table1[[#This Row],[submission_date]])</f>
        <v>0</v>
      </c>
      <c r="K52" s="5">
        <f>Table1[[#This Row],[resolution_date]] - Table1[[#This Row],[submission_date]]</f>
        <v>-8.8900462962962952E-3</v>
      </c>
      <c r="L52" s="5">
        <f>Table1[[#This Row],[res_time]]*24</f>
        <v>-0.21336111111111108</v>
      </c>
      <c r="M52" s="5">
        <f>AVERAGE(Table1[[#This Row],[resolution_date]])</f>
        <v>6.875E-3</v>
      </c>
    </row>
    <row r="53" spans="1:13" x14ac:dyDescent="0.3">
      <c r="A53" s="1" t="s">
        <v>130</v>
      </c>
      <c r="B53" s="3">
        <v>3.592013888888889E-2</v>
      </c>
      <c r="C53" s="3">
        <v>1.7428240740740741E-2</v>
      </c>
      <c r="D53" s="1" t="s">
        <v>13</v>
      </c>
      <c r="E53" s="1" t="s">
        <v>14</v>
      </c>
      <c r="F53" s="1" t="s">
        <v>131</v>
      </c>
      <c r="G53" s="1" t="s">
        <v>29</v>
      </c>
      <c r="H53" s="1" t="str">
        <f>TEXT(Table1[[#This Row],[submission_date]], "dddd")</f>
        <v>Saturday</v>
      </c>
      <c r="I53" s="1" t="str">
        <f>TEXT(Table1[[#This Row],[submission_date]], "mmm-yyyy")</f>
        <v>Jan-1900</v>
      </c>
      <c r="J53" s="1">
        <f>HOUR(Table1[[#This Row],[submission_date]])</f>
        <v>0</v>
      </c>
      <c r="K53" s="5">
        <f>Table1[[#This Row],[resolution_date]] - Table1[[#This Row],[submission_date]]</f>
        <v>-1.849189814814815E-2</v>
      </c>
      <c r="L53" s="5">
        <f>Table1[[#This Row],[res_time]]*24</f>
        <v>-0.44380555555555556</v>
      </c>
      <c r="M53" s="5">
        <f>AVERAGE(Table1[[#This Row],[resolution_date]])</f>
        <v>1.7428240740740741E-2</v>
      </c>
    </row>
    <row r="54" spans="1:13" x14ac:dyDescent="0.3">
      <c r="A54" s="1" t="s">
        <v>132</v>
      </c>
      <c r="B54" s="3">
        <v>1.5158564814814816E-2</v>
      </c>
      <c r="C54" s="3">
        <v>1.928125E-2</v>
      </c>
      <c r="D54" s="1" t="s">
        <v>13</v>
      </c>
      <c r="E54" s="1" t="s">
        <v>22</v>
      </c>
      <c r="F54" s="1" t="s">
        <v>133</v>
      </c>
      <c r="G54" s="1" t="s">
        <v>16</v>
      </c>
      <c r="H54" s="1" t="str">
        <f>TEXT(Table1[[#This Row],[submission_date]], "dddd")</f>
        <v>Saturday</v>
      </c>
      <c r="I54" s="1" t="str">
        <f>TEXT(Table1[[#This Row],[submission_date]], "mmm-yyyy")</f>
        <v>Jan-1900</v>
      </c>
      <c r="J54" s="1">
        <f>HOUR(Table1[[#This Row],[submission_date]])</f>
        <v>0</v>
      </c>
      <c r="K54" s="5">
        <f>Table1[[#This Row],[resolution_date]] - Table1[[#This Row],[submission_date]]</f>
        <v>4.1226851851851841E-3</v>
      </c>
      <c r="L54" s="5">
        <f>Table1[[#This Row],[res_time]]*24</f>
        <v>9.8944444444444418E-2</v>
      </c>
      <c r="M54" s="5">
        <f>AVERAGE(Table1[[#This Row],[resolution_date]])</f>
        <v>1.928125E-2</v>
      </c>
    </row>
    <row r="55" spans="1:13" x14ac:dyDescent="0.3">
      <c r="A55" s="1" t="s">
        <v>134</v>
      </c>
      <c r="B55" s="3">
        <v>2.9033564814814814E-2</v>
      </c>
      <c r="C55" s="3">
        <v>3.7255787037037039E-2</v>
      </c>
      <c r="D55" s="1" t="s">
        <v>13</v>
      </c>
      <c r="E55" s="1" t="s">
        <v>14</v>
      </c>
      <c r="F55" s="1" t="s">
        <v>135</v>
      </c>
      <c r="G55" s="1" t="s">
        <v>16</v>
      </c>
      <c r="H55" s="1" t="str">
        <f>TEXT(Table1[[#This Row],[submission_date]], "dddd")</f>
        <v>Saturday</v>
      </c>
      <c r="I55" s="1" t="str">
        <f>TEXT(Table1[[#This Row],[submission_date]], "mmm-yyyy")</f>
        <v>Jan-1900</v>
      </c>
      <c r="J55" s="1">
        <f>HOUR(Table1[[#This Row],[submission_date]])</f>
        <v>0</v>
      </c>
      <c r="K55" s="5">
        <f>Table1[[#This Row],[resolution_date]] - Table1[[#This Row],[submission_date]]</f>
        <v>8.2222222222222245E-3</v>
      </c>
      <c r="L55" s="5">
        <f>Table1[[#This Row],[res_time]]*24</f>
        <v>0.19733333333333339</v>
      </c>
      <c r="M55" s="5">
        <f>AVERAGE(Table1[[#This Row],[resolution_date]])</f>
        <v>3.7255787037037039E-2</v>
      </c>
    </row>
    <row r="56" spans="1:13" x14ac:dyDescent="0.3">
      <c r="A56" s="1" t="s">
        <v>136</v>
      </c>
      <c r="B56" s="3">
        <v>7.1759259259259259E-5</v>
      </c>
      <c r="C56" s="3">
        <v>2.1944444444444442E-3</v>
      </c>
      <c r="D56" s="1" t="s">
        <v>45</v>
      </c>
      <c r="E56" s="1" t="s">
        <v>18</v>
      </c>
      <c r="F56" s="1" t="s">
        <v>137</v>
      </c>
      <c r="G56" s="1" t="s">
        <v>11</v>
      </c>
      <c r="H56" s="1" t="str">
        <f>TEXT(Table1[[#This Row],[submission_date]], "dddd")</f>
        <v>Saturday</v>
      </c>
      <c r="I56" s="1" t="str">
        <f>TEXT(Table1[[#This Row],[submission_date]], "mmm-yyyy")</f>
        <v>Jan-1900</v>
      </c>
      <c r="J56" s="1">
        <f>HOUR(Table1[[#This Row],[submission_date]])</f>
        <v>0</v>
      </c>
      <c r="K56" s="5">
        <f>Table1[[#This Row],[resolution_date]] - Table1[[#This Row],[submission_date]]</f>
        <v>2.1226851851851849E-3</v>
      </c>
      <c r="L56" s="5">
        <f>Table1[[#This Row],[res_time]]*24</f>
        <v>5.0944444444444438E-2</v>
      </c>
      <c r="M56" s="5">
        <f>AVERAGE(Table1[[#This Row],[resolution_date]])</f>
        <v>2.1944444444444442E-3</v>
      </c>
    </row>
    <row r="57" spans="1:13" x14ac:dyDescent="0.3">
      <c r="A57" s="1" t="s">
        <v>138</v>
      </c>
      <c r="B57" s="3">
        <v>4.7256944444444447E-3</v>
      </c>
      <c r="C57" s="3">
        <v>3.3196759259259259E-2</v>
      </c>
      <c r="D57" s="1" t="s">
        <v>31</v>
      </c>
      <c r="E57" s="1" t="s">
        <v>14</v>
      </c>
      <c r="F57" s="1" t="s">
        <v>139</v>
      </c>
      <c r="G57" s="1" t="s">
        <v>16</v>
      </c>
      <c r="H57" s="1" t="str">
        <f>TEXT(Table1[[#This Row],[submission_date]], "dddd")</f>
        <v>Saturday</v>
      </c>
      <c r="I57" s="1" t="str">
        <f>TEXT(Table1[[#This Row],[submission_date]], "mmm-yyyy")</f>
        <v>Jan-1900</v>
      </c>
      <c r="J57" s="1">
        <f>HOUR(Table1[[#This Row],[submission_date]])</f>
        <v>0</v>
      </c>
      <c r="K57" s="5">
        <f>Table1[[#This Row],[resolution_date]] - Table1[[#This Row],[submission_date]]</f>
        <v>2.8471064814814814E-2</v>
      </c>
      <c r="L57" s="5">
        <f>Table1[[#This Row],[res_time]]*24</f>
        <v>0.6833055555555555</v>
      </c>
      <c r="M57" s="5">
        <f>AVERAGE(Table1[[#This Row],[resolution_date]])</f>
        <v>3.3196759259259259E-2</v>
      </c>
    </row>
    <row r="58" spans="1:13" x14ac:dyDescent="0.3">
      <c r="A58" s="1" t="s">
        <v>140</v>
      </c>
      <c r="B58" s="3">
        <v>3.6258101851851847E-2</v>
      </c>
      <c r="C58" s="3">
        <v>1.9832175925925927E-2</v>
      </c>
      <c r="D58" s="1" t="s">
        <v>8</v>
      </c>
      <c r="E58" s="1" t="s">
        <v>22</v>
      </c>
      <c r="F58" s="1" t="s">
        <v>141</v>
      </c>
      <c r="G58" s="1" t="s">
        <v>16</v>
      </c>
      <c r="H58" s="1" t="str">
        <f>TEXT(Table1[[#This Row],[submission_date]], "dddd")</f>
        <v>Saturday</v>
      </c>
      <c r="I58" s="1" t="str">
        <f>TEXT(Table1[[#This Row],[submission_date]], "mmm-yyyy")</f>
        <v>Jan-1900</v>
      </c>
      <c r="J58" s="1">
        <f>HOUR(Table1[[#This Row],[submission_date]])</f>
        <v>0</v>
      </c>
      <c r="K58" s="5">
        <f>Table1[[#This Row],[resolution_date]] - Table1[[#This Row],[submission_date]]</f>
        <v>-1.642592592592592E-2</v>
      </c>
      <c r="L58" s="5">
        <f>Table1[[#This Row],[res_time]]*24</f>
        <v>-0.39422222222222209</v>
      </c>
      <c r="M58" s="5">
        <f>AVERAGE(Table1[[#This Row],[resolution_date]])</f>
        <v>1.9832175925925927E-2</v>
      </c>
    </row>
    <row r="59" spans="1:13" x14ac:dyDescent="0.3">
      <c r="A59" s="1" t="s">
        <v>142</v>
      </c>
      <c r="B59" s="3">
        <v>2.053935185185185E-2</v>
      </c>
      <c r="C59" s="3">
        <v>3.3999999999999996E-2</v>
      </c>
      <c r="D59" s="1" t="s">
        <v>60</v>
      </c>
      <c r="E59" s="1" t="s">
        <v>35</v>
      </c>
      <c r="F59" s="1" t="s">
        <v>143</v>
      </c>
      <c r="G59" s="1" t="s">
        <v>29</v>
      </c>
      <c r="H59" s="1" t="str">
        <f>TEXT(Table1[[#This Row],[submission_date]], "dddd")</f>
        <v>Saturday</v>
      </c>
      <c r="I59" s="1" t="str">
        <f>TEXT(Table1[[#This Row],[submission_date]], "mmm-yyyy")</f>
        <v>Jan-1900</v>
      </c>
      <c r="J59" s="1">
        <f>HOUR(Table1[[#This Row],[submission_date]])</f>
        <v>0</v>
      </c>
      <c r="K59" s="5">
        <f>Table1[[#This Row],[resolution_date]] - Table1[[#This Row],[submission_date]]</f>
        <v>1.3460648148148145E-2</v>
      </c>
      <c r="L59" s="5">
        <f>Table1[[#This Row],[res_time]]*24</f>
        <v>0.32305555555555548</v>
      </c>
      <c r="M59" s="5">
        <f>AVERAGE(Table1[[#This Row],[resolution_date]])</f>
        <v>3.3999999999999996E-2</v>
      </c>
    </row>
    <row r="60" spans="1:13" x14ac:dyDescent="0.3">
      <c r="A60" s="1" t="s">
        <v>144</v>
      </c>
      <c r="B60" s="3">
        <v>2.9753472222222219E-2</v>
      </c>
      <c r="C60" s="3">
        <v>1.1539351851851851E-2</v>
      </c>
      <c r="D60" s="1" t="s">
        <v>8</v>
      </c>
      <c r="E60" s="1" t="s">
        <v>35</v>
      </c>
      <c r="F60" s="1" t="s">
        <v>145</v>
      </c>
      <c r="G60" s="1" t="s">
        <v>16</v>
      </c>
      <c r="H60" s="1" t="str">
        <f>TEXT(Table1[[#This Row],[submission_date]], "dddd")</f>
        <v>Saturday</v>
      </c>
      <c r="I60" s="1" t="str">
        <f>TEXT(Table1[[#This Row],[submission_date]], "mmm-yyyy")</f>
        <v>Jan-1900</v>
      </c>
      <c r="J60" s="1">
        <f>HOUR(Table1[[#This Row],[submission_date]])</f>
        <v>0</v>
      </c>
      <c r="K60" s="5">
        <f>Table1[[#This Row],[resolution_date]] - Table1[[#This Row],[submission_date]]</f>
        <v>-1.8214120370370367E-2</v>
      </c>
      <c r="L60" s="5">
        <f>Table1[[#This Row],[res_time]]*24</f>
        <v>-0.4371388888888888</v>
      </c>
      <c r="M60" s="5">
        <f>AVERAGE(Table1[[#This Row],[resolution_date]])</f>
        <v>1.1539351851851851E-2</v>
      </c>
    </row>
    <row r="61" spans="1:13" x14ac:dyDescent="0.3">
      <c r="A61" s="1" t="s">
        <v>146</v>
      </c>
      <c r="B61" s="3">
        <v>2.619675925925926E-2</v>
      </c>
      <c r="C61" s="3">
        <v>1.2488425925925925E-2</v>
      </c>
      <c r="D61" s="1" t="s">
        <v>13</v>
      </c>
      <c r="E61" s="1" t="s">
        <v>32</v>
      </c>
      <c r="F61" s="1" t="s">
        <v>147</v>
      </c>
      <c r="G61" s="1" t="s">
        <v>16</v>
      </c>
      <c r="H61" s="1" t="str">
        <f>TEXT(Table1[[#This Row],[submission_date]], "dddd")</f>
        <v>Saturday</v>
      </c>
      <c r="I61" s="1" t="str">
        <f>TEXT(Table1[[#This Row],[submission_date]], "mmm-yyyy")</f>
        <v>Jan-1900</v>
      </c>
      <c r="J61" s="1">
        <f>HOUR(Table1[[#This Row],[submission_date]])</f>
        <v>0</v>
      </c>
      <c r="K61" s="5">
        <f>Table1[[#This Row],[resolution_date]] - Table1[[#This Row],[submission_date]]</f>
        <v>-1.3708333333333335E-2</v>
      </c>
      <c r="L61" s="5">
        <f>Table1[[#This Row],[res_time]]*24</f>
        <v>-0.32900000000000001</v>
      </c>
      <c r="M61" s="5">
        <f>AVERAGE(Table1[[#This Row],[resolution_date]])</f>
        <v>1.2488425925925925E-2</v>
      </c>
    </row>
    <row r="62" spans="1:13" x14ac:dyDescent="0.3">
      <c r="A62" s="1" t="s">
        <v>148</v>
      </c>
      <c r="B62" s="3">
        <v>3.9120370370370368E-3</v>
      </c>
      <c r="C62" s="3">
        <v>3.4608796296296297E-2</v>
      </c>
      <c r="D62" s="1" t="s">
        <v>21</v>
      </c>
      <c r="E62" s="1" t="s">
        <v>22</v>
      </c>
      <c r="F62" s="1" t="s">
        <v>149</v>
      </c>
      <c r="G62" s="1" t="s">
        <v>16</v>
      </c>
      <c r="H62" s="1" t="str">
        <f>TEXT(Table1[[#This Row],[submission_date]], "dddd")</f>
        <v>Saturday</v>
      </c>
      <c r="I62" s="1" t="str">
        <f>TEXT(Table1[[#This Row],[submission_date]], "mmm-yyyy")</f>
        <v>Jan-1900</v>
      </c>
      <c r="J62" s="1">
        <f>HOUR(Table1[[#This Row],[submission_date]])</f>
        <v>0</v>
      </c>
      <c r="K62" s="5">
        <f>Table1[[#This Row],[resolution_date]] - Table1[[#This Row],[submission_date]]</f>
        <v>3.069675925925926E-2</v>
      </c>
      <c r="L62" s="5">
        <f>Table1[[#This Row],[res_time]]*24</f>
        <v>0.73672222222222228</v>
      </c>
      <c r="M62" s="5">
        <f>AVERAGE(Table1[[#This Row],[resolution_date]])</f>
        <v>3.4608796296296297E-2</v>
      </c>
    </row>
    <row r="63" spans="1:13" x14ac:dyDescent="0.3">
      <c r="A63" s="1" t="s">
        <v>150</v>
      </c>
      <c r="B63" s="3">
        <v>1.3637731481481482E-2</v>
      </c>
      <c r="C63" s="3">
        <v>2.421296296296296E-3</v>
      </c>
      <c r="D63" s="1" t="s">
        <v>13</v>
      </c>
      <c r="E63" s="1" t="s">
        <v>9</v>
      </c>
      <c r="F63" s="1" t="s">
        <v>151</v>
      </c>
      <c r="G63" s="1" t="s">
        <v>16</v>
      </c>
      <c r="H63" s="1" t="str">
        <f>TEXT(Table1[[#This Row],[submission_date]], "dddd")</f>
        <v>Saturday</v>
      </c>
      <c r="I63" s="1" t="str">
        <f>TEXT(Table1[[#This Row],[submission_date]], "mmm-yyyy")</f>
        <v>Jan-1900</v>
      </c>
      <c r="J63" s="1">
        <f>HOUR(Table1[[#This Row],[submission_date]])</f>
        <v>0</v>
      </c>
      <c r="K63" s="5">
        <f>Table1[[#This Row],[resolution_date]] - Table1[[#This Row],[submission_date]]</f>
        <v>-1.1216435185185185E-2</v>
      </c>
      <c r="L63" s="5">
        <f>Table1[[#This Row],[res_time]]*24</f>
        <v>-0.26919444444444446</v>
      </c>
      <c r="M63" s="5">
        <f>AVERAGE(Table1[[#This Row],[resolution_date]])</f>
        <v>2.421296296296296E-3</v>
      </c>
    </row>
    <row r="64" spans="1:13" x14ac:dyDescent="0.3">
      <c r="A64" s="1" t="s">
        <v>152</v>
      </c>
      <c r="B64" s="3">
        <v>2.7548611111111111E-2</v>
      </c>
      <c r="C64" s="3">
        <v>1.5076388888888887E-2</v>
      </c>
      <c r="D64" s="1" t="s">
        <v>13</v>
      </c>
      <c r="E64" s="1" t="s">
        <v>42</v>
      </c>
      <c r="F64" s="1" t="s">
        <v>153</v>
      </c>
      <c r="G64" s="1" t="s">
        <v>16</v>
      </c>
      <c r="H64" s="1" t="str">
        <f>TEXT(Table1[[#This Row],[submission_date]], "dddd")</f>
        <v>Saturday</v>
      </c>
      <c r="I64" s="1" t="str">
        <f>TEXT(Table1[[#This Row],[submission_date]], "mmm-yyyy")</f>
        <v>Jan-1900</v>
      </c>
      <c r="J64" s="1">
        <f>HOUR(Table1[[#This Row],[submission_date]])</f>
        <v>0</v>
      </c>
      <c r="K64" s="5">
        <f>Table1[[#This Row],[resolution_date]] - Table1[[#This Row],[submission_date]]</f>
        <v>-1.2472222222222223E-2</v>
      </c>
      <c r="L64" s="5">
        <f>Table1[[#This Row],[res_time]]*24</f>
        <v>-0.29933333333333334</v>
      </c>
      <c r="M64" s="5">
        <f>AVERAGE(Table1[[#This Row],[resolution_date]])</f>
        <v>1.5076388888888887E-2</v>
      </c>
    </row>
    <row r="65" spans="1:13" x14ac:dyDescent="0.3">
      <c r="A65" s="1" t="s">
        <v>154</v>
      </c>
      <c r="B65" s="3">
        <v>3.9686342592592593E-2</v>
      </c>
      <c r="C65" s="3">
        <v>3.8618055555555551E-2</v>
      </c>
      <c r="D65" s="1" t="s">
        <v>31</v>
      </c>
      <c r="E65" s="1" t="s">
        <v>42</v>
      </c>
      <c r="F65" s="1" t="s">
        <v>155</v>
      </c>
      <c r="G65" s="1" t="s">
        <v>11</v>
      </c>
      <c r="H65" s="1" t="str">
        <f>TEXT(Table1[[#This Row],[submission_date]], "dddd")</f>
        <v>Saturday</v>
      </c>
      <c r="I65" s="1" t="str">
        <f>TEXT(Table1[[#This Row],[submission_date]], "mmm-yyyy")</f>
        <v>Jan-1900</v>
      </c>
      <c r="J65" s="1">
        <f>HOUR(Table1[[#This Row],[submission_date]])</f>
        <v>0</v>
      </c>
      <c r="K65" s="5">
        <f>Table1[[#This Row],[resolution_date]] - Table1[[#This Row],[submission_date]]</f>
        <v>-1.0682870370370412E-3</v>
      </c>
      <c r="L65" s="5">
        <f>Table1[[#This Row],[res_time]]*24</f>
        <v>-2.5638888888888989E-2</v>
      </c>
      <c r="M65" s="5">
        <f>AVERAGE(Table1[[#This Row],[resolution_date]])</f>
        <v>3.8618055555555551E-2</v>
      </c>
    </row>
    <row r="66" spans="1:13" x14ac:dyDescent="0.3">
      <c r="A66" s="1" t="s">
        <v>156</v>
      </c>
      <c r="B66" s="3">
        <v>4.0420138888888894E-2</v>
      </c>
      <c r="C66" s="3">
        <v>1.3368055555555555E-3</v>
      </c>
      <c r="D66" s="1" t="s">
        <v>31</v>
      </c>
      <c r="E66" s="1" t="s">
        <v>25</v>
      </c>
      <c r="F66" s="1" t="s">
        <v>157</v>
      </c>
      <c r="G66" s="1" t="s">
        <v>16</v>
      </c>
      <c r="H66" s="1" t="str">
        <f>TEXT(Table1[[#This Row],[submission_date]], "dddd")</f>
        <v>Saturday</v>
      </c>
      <c r="I66" s="1" t="str">
        <f>TEXT(Table1[[#This Row],[submission_date]], "mmm-yyyy")</f>
        <v>Jan-1900</v>
      </c>
      <c r="J66" s="1">
        <f>HOUR(Table1[[#This Row],[submission_date]])</f>
        <v>0</v>
      </c>
      <c r="K66" s="5">
        <f>Table1[[#This Row],[resolution_date]] - Table1[[#This Row],[submission_date]]</f>
        <v>-3.9083333333333338E-2</v>
      </c>
      <c r="L66" s="5">
        <f>Table1[[#This Row],[res_time]]*24</f>
        <v>-0.93800000000000017</v>
      </c>
      <c r="M66" s="5">
        <f>AVERAGE(Table1[[#This Row],[resolution_date]])</f>
        <v>1.3368055555555555E-3</v>
      </c>
    </row>
    <row r="67" spans="1:13" x14ac:dyDescent="0.3">
      <c r="A67" s="1" t="s">
        <v>158</v>
      </c>
      <c r="B67" s="3">
        <v>7.8182870370370368E-3</v>
      </c>
      <c r="C67" s="3">
        <v>3.8613425925925926E-2</v>
      </c>
      <c r="D67" s="1" t="s">
        <v>45</v>
      </c>
      <c r="E67" s="1" t="s">
        <v>9</v>
      </c>
      <c r="F67" s="1" t="s">
        <v>159</v>
      </c>
      <c r="G67" s="1" t="s">
        <v>16</v>
      </c>
      <c r="H67" s="1" t="str">
        <f>TEXT(Table1[[#This Row],[submission_date]], "dddd")</f>
        <v>Saturday</v>
      </c>
      <c r="I67" s="1" t="str">
        <f>TEXT(Table1[[#This Row],[submission_date]], "mmm-yyyy")</f>
        <v>Jan-1900</v>
      </c>
      <c r="J67" s="1">
        <f>HOUR(Table1[[#This Row],[submission_date]])</f>
        <v>0</v>
      </c>
      <c r="K67" s="5">
        <f>Table1[[#This Row],[resolution_date]] - Table1[[#This Row],[submission_date]]</f>
        <v>3.0795138888888889E-2</v>
      </c>
      <c r="L67" s="5">
        <f>Table1[[#This Row],[res_time]]*24</f>
        <v>0.73908333333333331</v>
      </c>
      <c r="M67" s="5">
        <f>AVERAGE(Table1[[#This Row],[resolution_date]])</f>
        <v>3.8613425925925926E-2</v>
      </c>
    </row>
    <row r="68" spans="1:13" x14ac:dyDescent="0.3">
      <c r="A68" s="1" t="s">
        <v>160</v>
      </c>
      <c r="B68" s="3">
        <v>1.525E-2</v>
      </c>
      <c r="C68" s="3">
        <v>3.7997685185185187E-3</v>
      </c>
      <c r="D68" s="1" t="s">
        <v>21</v>
      </c>
      <c r="E68" s="1" t="s">
        <v>18</v>
      </c>
      <c r="F68" s="1" t="s">
        <v>161</v>
      </c>
      <c r="G68" s="1" t="s">
        <v>29</v>
      </c>
      <c r="H68" s="1" t="str">
        <f>TEXT(Table1[[#This Row],[submission_date]], "dddd")</f>
        <v>Saturday</v>
      </c>
      <c r="I68" s="1" t="str">
        <f>TEXT(Table1[[#This Row],[submission_date]], "mmm-yyyy")</f>
        <v>Jan-1900</v>
      </c>
      <c r="J68" s="1">
        <f>HOUR(Table1[[#This Row],[submission_date]])</f>
        <v>0</v>
      </c>
      <c r="K68" s="5">
        <f>Table1[[#This Row],[resolution_date]] - Table1[[#This Row],[submission_date]]</f>
        <v>-1.1450231481481481E-2</v>
      </c>
      <c r="L68" s="5">
        <f>Table1[[#This Row],[res_time]]*24</f>
        <v>-0.27480555555555553</v>
      </c>
      <c r="M68" s="5">
        <f>AVERAGE(Table1[[#This Row],[resolution_date]])</f>
        <v>3.7997685185185187E-3</v>
      </c>
    </row>
    <row r="69" spans="1:13" x14ac:dyDescent="0.3">
      <c r="A69" s="1" t="s">
        <v>162</v>
      </c>
      <c r="B69" s="3">
        <v>1.2718750000000001E-2</v>
      </c>
      <c r="C69" s="3">
        <v>2.0868055555555557E-3</v>
      </c>
      <c r="D69" s="1" t="s">
        <v>45</v>
      </c>
      <c r="E69" s="1" t="s">
        <v>42</v>
      </c>
      <c r="F69" s="1" t="s">
        <v>163</v>
      </c>
      <c r="G69" s="1" t="s">
        <v>16</v>
      </c>
      <c r="H69" s="1" t="str">
        <f>TEXT(Table1[[#This Row],[submission_date]], "dddd")</f>
        <v>Saturday</v>
      </c>
      <c r="I69" s="1" t="str">
        <f>TEXT(Table1[[#This Row],[submission_date]], "mmm-yyyy")</f>
        <v>Jan-1900</v>
      </c>
      <c r="J69" s="1">
        <f>HOUR(Table1[[#This Row],[submission_date]])</f>
        <v>0</v>
      </c>
      <c r="K69" s="5">
        <f>Table1[[#This Row],[resolution_date]] - Table1[[#This Row],[submission_date]]</f>
        <v>-1.0631944444444446E-2</v>
      </c>
      <c r="L69" s="5">
        <f>Table1[[#This Row],[res_time]]*24</f>
        <v>-0.25516666666666671</v>
      </c>
      <c r="M69" s="5">
        <f>AVERAGE(Table1[[#This Row],[resolution_date]])</f>
        <v>2.0868055555555557E-3</v>
      </c>
    </row>
    <row r="70" spans="1:13" x14ac:dyDescent="0.3">
      <c r="A70" s="1" t="s">
        <v>164</v>
      </c>
      <c r="B70" s="3">
        <v>3.2517361111111108E-2</v>
      </c>
      <c r="C70" s="3">
        <v>1.179861111111111E-2</v>
      </c>
      <c r="D70" s="1" t="s">
        <v>13</v>
      </c>
      <c r="E70" s="1" t="s">
        <v>32</v>
      </c>
      <c r="F70" s="1" t="s">
        <v>165</v>
      </c>
      <c r="G70" s="1" t="s">
        <v>29</v>
      </c>
      <c r="H70" s="1" t="str">
        <f>TEXT(Table1[[#This Row],[submission_date]], "dddd")</f>
        <v>Saturday</v>
      </c>
      <c r="I70" s="1" t="str">
        <f>TEXT(Table1[[#This Row],[submission_date]], "mmm-yyyy")</f>
        <v>Jan-1900</v>
      </c>
      <c r="J70" s="1">
        <f>HOUR(Table1[[#This Row],[submission_date]])</f>
        <v>0</v>
      </c>
      <c r="K70" s="5">
        <f>Table1[[#This Row],[resolution_date]] - Table1[[#This Row],[submission_date]]</f>
        <v>-2.0718749999999998E-2</v>
      </c>
      <c r="L70" s="5">
        <f>Table1[[#This Row],[res_time]]*24</f>
        <v>-0.49724999999999997</v>
      </c>
      <c r="M70" s="5">
        <f>AVERAGE(Table1[[#This Row],[resolution_date]])</f>
        <v>1.179861111111111E-2</v>
      </c>
    </row>
    <row r="71" spans="1:13" x14ac:dyDescent="0.3">
      <c r="A71" s="1" t="s">
        <v>166</v>
      </c>
      <c r="B71" s="3">
        <v>2.1170138888888888E-2</v>
      </c>
      <c r="C71" s="3">
        <v>2.5709490740740745E-2</v>
      </c>
      <c r="D71" s="1" t="s">
        <v>13</v>
      </c>
      <c r="E71" s="1" t="s">
        <v>25</v>
      </c>
      <c r="F71" s="1" t="s">
        <v>167</v>
      </c>
      <c r="G71" s="1" t="s">
        <v>16</v>
      </c>
      <c r="H71" s="1" t="str">
        <f>TEXT(Table1[[#This Row],[submission_date]], "dddd")</f>
        <v>Saturday</v>
      </c>
      <c r="I71" s="1" t="str">
        <f>TEXT(Table1[[#This Row],[submission_date]], "mmm-yyyy")</f>
        <v>Jan-1900</v>
      </c>
      <c r="J71" s="1">
        <f>HOUR(Table1[[#This Row],[submission_date]])</f>
        <v>0</v>
      </c>
      <c r="K71" s="5">
        <f>Table1[[#This Row],[resolution_date]] - Table1[[#This Row],[submission_date]]</f>
        <v>4.5393518518518569E-3</v>
      </c>
      <c r="L71" s="5">
        <f>Table1[[#This Row],[res_time]]*24</f>
        <v>0.10894444444444457</v>
      </c>
      <c r="M71" s="5">
        <f>AVERAGE(Table1[[#This Row],[resolution_date]])</f>
        <v>2.5709490740740745E-2</v>
      </c>
    </row>
    <row r="72" spans="1:13" x14ac:dyDescent="0.3">
      <c r="A72" s="1" t="s">
        <v>168</v>
      </c>
      <c r="B72" s="3">
        <v>4.0517361111111108E-2</v>
      </c>
      <c r="C72" s="3">
        <v>7.9120370370370369E-3</v>
      </c>
      <c r="D72" s="1" t="s">
        <v>21</v>
      </c>
      <c r="E72" s="1" t="s">
        <v>42</v>
      </c>
      <c r="F72" s="1" t="s">
        <v>169</v>
      </c>
      <c r="G72" s="1" t="s">
        <v>115</v>
      </c>
      <c r="H72" s="1" t="str">
        <f>TEXT(Table1[[#This Row],[submission_date]], "dddd")</f>
        <v>Saturday</v>
      </c>
      <c r="I72" s="1" t="str">
        <f>TEXT(Table1[[#This Row],[submission_date]], "mmm-yyyy")</f>
        <v>Jan-1900</v>
      </c>
      <c r="J72" s="1">
        <f>HOUR(Table1[[#This Row],[submission_date]])</f>
        <v>0</v>
      </c>
      <c r="K72" s="5">
        <f>Table1[[#This Row],[resolution_date]] - Table1[[#This Row],[submission_date]]</f>
        <v>-3.2605324074074071E-2</v>
      </c>
      <c r="L72" s="5">
        <f>Table1[[#This Row],[res_time]]*24</f>
        <v>-0.78252777777777771</v>
      </c>
      <c r="M72" s="5">
        <f>AVERAGE(Table1[[#This Row],[resolution_date]])</f>
        <v>7.9120370370370369E-3</v>
      </c>
    </row>
    <row r="73" spans="1:13" x14ac:dyDescent="0.3">
      <c r="A73" s="1" t="s">
        <v>170</v>
      </c>
      <c r="B73" s="3">
        <v>3.8502314814814816E-2</v>
      </c>
      <c r="C73" s="3">
        <v>4.0575231481481476E-2</v>
      </c>
      <c r="D73" s="1" t="s">
        <v>13</v>
      </c>
      <c r="E73" s="1" t="s">
        <v>18</v>
      </c>
      <c r="F73" s="1" t="s">
        <v>171</v>
      </c>
      <c r="G73" s="1" t="s">
        <v>16</v>
      </c>
      <c r="H73" s="1" t="str">
        <f>TEXT(Table1[[#This Row],[submission_date]], "dddd")</f>
        <v>Saturday</v>
      </c>
      <c r="I73" s="1" t="str">
        <f>TEXT(Table1[[#This Row],[submission_date]], "mmm-yyyy")</f>
        <v>Jan-1900</v>
      </c>
      <c r="J73" s="1">
        <f>HOUR(Table1[[#This Row],[submission_date]])</f>
        <v>0</v>
      </c>
      <c r="K73" s="5">
        <f>Table1[[#This Row],[resolution_date]] - Table1[[#This Row],[submission_date]]</f>
        <v>2.0729166666666604E-3</v>
      </c>
      <c r="L73" s="5">
        <f>Table1[[#This Row],[res_time]]*24</f>
        <v>4.974999999999985E-2</v>
      </c>
      <c r="M73" s="5">
        <f>AVERAGE(Table1[[#This Row],[resolution_date]])</f>
        <v>4.0575231481481476E-2</v>
      </c>
    </row>
    <row r="74" spans="1:13" x14ac:dyDescent="0.3">
      <c r="A74" s="1" t="s">
        <v>172</v>
      </c>
      <c r="B74" s="3">
        <v>2.9446759259259256E-2</v>
      </c>
      <c r="C74" s="3">
        <v>2.2584490740740742E-2</v>
      </c>
      <c r="D74" s="1" t="s">
        <v>45</v>
      </c>
      <c r="E74" s="1" t="s">
        <v>42</v>
      </c>
      <c r="F74" s="1" t="s">
        <v>173</v>
      </c>
      <c r="G74" s="1" t="s">
        <v>16</v>
      </c>
      <c r="H74" s="1" t="str">
        <f>TEXT(Table1[[#This Row],[submission_date]], "dddd")</f>
        <v>Saturday</v>
      </c>
      <c r="I74" s="1" t="str">
        <f>TEXT(Table1[[#This Row],[submission_date]], "mmm-yyyy")</f>
        <v>Jan-1900</v>
      </c>
      <c r="J74" s="1">
        <f>HOUR(Table1[[#This Row],[submission_date]])</f>
        <v>0</v>
      </c>
      <c r="K74" s="5">
        <f>Table1[[#This Row],[resolution_date]] - Table1[[#This Row],[submission_date]]</f>
        <v>-6.8622685185185141E-3</v>
      </c>
      <c r="L74" s="5">
        <f>Table1[[#This Row],[res_time]]*24</f>
        <v>-0.16469444444444434</v>
      </c>
      <c r="M74" s="5">
        <f>AVERAGE(Table1[[#This Row],[resolution_date]])</f>
        <v>2.2584490740740742E-2</v>
      </c>
    </row>
    <row r="75" spans="1:13" x14ac:dyDescent="0.3">
      <c r="A75" s="1" t="s">
        <v>174</v>
      </c>
      <c r="B75" s="3">
        <v>2.3766203703703706E-2</v>
      </c>
      <c r="C75" s="3">
        <v>2.8341435185185185E-2</v>
      </c>
      <c r="D75" s="1" t="s">
        <v>8</v>
      </c>
      <c r="E75" s="1" t="s">
        <v>46</v>
      </c>
      <c r="F75" s="1" t="s">
        <v>175</v>
      </c>
      <c r="G75" s="1" t="s">
        <v>11</v>
      </c>
      <c r="H75" s="1" t="str">
        <f>TEXT(Table1[[#This Row],[submission_date]], "dddd")</f>
        <v>Saturday</v>
      </c>
      <c r="I75" s="1" t="str">
        <f>TEXT(Table1[[#This Row],[submission_date]], "mmm-yyyy")</f>
        <v>Jan-1900</v>
      </c>
      <c r="J75" s="1">
        <f>HOUR(Table1[[#This Row],[submission_date]])</f>
        <v>0</v>
      </c>
      <c r="K75" s="5">
        <f>Table1[[#This Row],[resolution_date]] - Table1[[#This Row],[submission_date]]</f>
        <v>4.5752314814814787E-3</v>
      </c>
      <c r="L75" s="5">
        <f>Table1[[#This Row],[res_time]]*24</f>
        <v>0.10980555555555549</v>
      </c>
      <c r="M75" s="5">
        <f>AVERAGE(Table1[[#This Row],[resolution_date]])</f>
        <v>2.8341435185185185E-2</v>
      </c>
    </row>
    <row r="76" spans="1:13" x14ac:dyDescent="0.3">
      <c r="A76" s="1" t="s">
        <v>176</v>
      </c>
      <c r="B76" s="3">
        <v>1.2458333333333335E-2</v>
      </c>
      <c r="C76" s="3">
        <v>1.3730324074074074E-2</v>
      </c>
      <c r="D76" s="1" t="s">
        <v>60</v>
      </c>
      <c r="E76" s="1" t="s">
        <v>14</v>
      </c>
      <c r="F76" s="1" t="s">
        <v>177</v>
      </c>
      <c r="G76" s="1" t="s">
        <v>29</v>
      </c>
      <c r="H76" s="1" t="str">
        <f>TEXT(Table1[[#This Row],[submission_date]], "dddd")</f>
        <v>Saturday</v>
      </c>
      <c r="I76" s="1" t="str">
        <f>TEXT(Table1[[#This Row],[submission_date]], "mmm-yyyy")</f>
        <v>Jan-1900</v>
      </c>
      <c r="J76" s="1">
        <f>HOUR(Table1[[#This Row],[submission_date]])</f>
        <v>0</v>
      </c>
      <c r="K76" s="5">
        <f>Table1[[#This Row],[resolution_date]] - Table1[[#This Row],[submission_date]]</f>
        <v>1.2719907407407385E-3</v>
      </c>
      <c r="L76" s="5">
        <f>Table1[[#This Row],[res_time]]*24</f>
        <v>3.0527777777777723E-2</v>
      </c>
      <c r="M76" s="5">
        <f>AVERAGE(Table1[[#This Row],[resolution_date]])</f>
        <v>1.3730324074074074E-2</v>
      </c>
    </row>
    <row r="77" spans="1:13" x14ac:dyDescent="0.3">
      <c r="A77" s="1" t="s">
        <v>178</v>
      </c>
      <c r="B77" s="3">
        <v>3.3498842592592594E-2</v>
      </c>
      <c r="C77" s="3">
        <v>2.8449074074074075E-2</v>
      </c>
      <c r="D77" s="1" t="s">
        <v>8</v>
      </c>
      <c r="E77" s="1" t="s">
        <v>42</v>
      </c>
      <c r="F77" s="1" t="s">
        <v>179</v>
      </c>
      <c r="G77" s="1" t="s">
        <v>11</v>
      </c>
      <c r="H77" s="1" t="str">
        <f>TEXT(Table1[[#This Row],[submission_date]], "dddd")</f>
        <v>Saturday</v>
      </c>
      <c r="I77" s="1" t="str">
        <f>TEXT(Table1[[#This Row],[submission_date]], "mmm-yyyy")</f>
        <v>Jan-1900</v>
      </c>
      <c r="J77" s="1">
        <f>HOUR(Table1[[#This Row],[submission_date]])</f>
        <v>0</v>
      </c>
      <c r="K77" s="5">
        <f>Table1[[#This Row],[resolution_date]] - Table1[[#This Row],[submission_date]]</f>
        <v>-5.0497685185185194E-3</v>
      </c>
      <c r="L77" s="5">
        <f>Table1[[#This Row],[res_time]]*24</f>
        <v>-0.12119444444444447</v>
      </c>
      <c r="M77" s="5">
        <f>AVERAGE(Table1[[#This Row],[resolution_date]])</f>
        <v>2.8449074074074075E-2</v>
      </c>
    </row>
    <row r="78" spans="1:13" x14ac:dyDescent="0.3">
      <c r="A78" s="1" t="s">
        <v>180</v>
      </c>
      <c r="B78" s="3">
        <v>2.1798611111111112E-2</v>
      </c>
      <c r="C78" s="3">
        <v>7.7812499999999991E-3</v>
      </c>
      <c r="D78" s="1" t="s">
        <v>13</v>
      </c>
      <c r="E78" s="1" t="s">
        <v>14</v>
      </c>
      <c r="F78" s="1" t="s">
        <v>181</v>
      </c>
      <c r="G78" s="1" t="s">
        <v>11</v>
      </c>
      <c r="H78" s="1" t="str">
        <f>TEXT(Table1[[#This Row],[submission_date]], "dddd")</f>
        <v>Saturday</v>
      </c>
      <c r="I78" s="1" t="str">
        <f>TEXT(Table1[[#This Row],[submission_date]], "mmm-yyyy")</f>
        <v>Jan-1900</v>
      </c>
      <c r="J78" s="1">
        <f>HOUR(Table1[[#This Row],[submission_date]])</f>
        <v>0</v>
      </c>
      <c r="K78" s="5">
        <f>Table1[[#This Row],[resolution_date]] - Table1[[#This Row],[submission_date]]</f>
        <v>-1.4017361111111112E-2</v>
      </c>
      <c r="L78" s="5">
        <f>Table1[[#This Row],[res_time]]*24</f>
        <v>-0.3364166666666667</v>
      </c>
      <c r="M78" s="5">
        <f>AVERAGE(Table1[[#This Row],[resolution_date]])</f>
        <v>7.7812499999999991E-3</v>
      </c>
    </row>
    <row r="79" spans="1:13" x14ac:dyDescent="0.3">
      <c r="A79" s="1" t="s">
        <v>182</v>
      </c>
      <c r="B79" s="3">
        <v>2.9604166666666668E-2</v>
      </c>
      <c r="C79" s="3">
        <v>2.7986111111111111E-2</v>
      </c>
      <c r="D79" s="1" t="s">
        <v>60</v>
      </c>
      <c r="E79" s="1" t="s">
        <v>32</v>
      </c>
      <c r="F79" s="1" t="s">
        <v>183</v>
      </c>
      <c r="G79" s="1" t="s">
        <v>11</v>
      </c>
      <c r="H79" s="1" t="str">
        <f>TEXT(Table1[[#This Row],[submission_date]], "dddd")</f>
        <v>Saturday</v>
      </c>
      <c r="I79" s="1" t="str">
        <f>TEXT(Table1[[#This Row],[submission_date]], "mmm-yyyy")</f>
        <v>Jan-1900</v>
      </c>
      <c r="J79" s="1">
        <f>HOUR(Table1[[#This Row],[submission_date]])</f>
        <v>0</v>
      </c>
      <c r="K79" s="5">
        <f>Table1[[#This Row],[resolution_date]] - Table1[[#This Row],[submission_date]]</f>
        <v>-1.6180555555555566E-3</v>
      </c>
      <c r="L79" s="5">
        <f>Table1[[#This Row],[res_time]]*24</f>
        <v>-3.8833333333333359E-2</v>
      </c>
      <c r="M79" s="5">
        <f>AVERAGE(Table1[[#This Row],[resolution_date]])</f>
        <v>2.7986111111111111E-2</v>
      </c>
    </row>
    <row r="80" spans="1:13" x14ac:dyDescent="0.3">
      <c r="A80" s="1" t="s">
        <v>184</v>
      </c>
      <c r="B80" s="3">
        <v>4.1013888888888884E-2</v>
      </c>
      <c r="C80" s="3">
        <v>2.0631944444444442E-2</v>
      </c>
      <c r="D80" s="1" t="s">
        <v>13</v>
      </c>
      <c r="E80" s="1" t="s">
        <v>14</v>
      </c>
      <c r="F80" s="1" t="s">
        <v>185</v>
      </c>
      <c r="G80" s="1" t="s">
        <v>29</v>
      </c>
      <c r="H80" s="1" t="str">
        <f>TEXT(Table1[[#This Row],[submission_date]], "dddd")</f>
        <v>Saturday</v>
      </c>
      <c r="I80" s="1" t="str">
        <f>TEXT(Table1[[#This Row],[submission_date]], "mmm-yyyy")</f>
        <v>Jan-1900</v>
      </c>
      <c r="J80" s="1">
        <f>HOUR(Table1[[#This Row],[submission_date]])</f>
        <v>0</v>
      </c>
      <c r="K80" s="5">
        <f>Table1[[#This Row],[resolution_date]] - Table1[[#This Row],[submission_date]]</f>
        <v>-2.0381944444444442E-2</v>
      </c>
      <c r="L80" s="5">
        <f>Table1[[#This Row],[res_time]]*24</f>
        <v>-0.48916666666666664</v>
      </c>
      <c r="M80" s="5">
        <f>AVERAGE(Table1[[#This Row],[resolution_date]])</f>
        <v>2.0631944444444442E-2</v>
      </c>
    </row>
    <row r="81" spans="1:13" x14ac:dyDescent="0.3">
      <c r="A81" s="1" t="s">
        <v>186</v>
      </c>
      <c r="B81" s="3">
        <v>4.0677083333333336E-2</v>
      </c>
      <c r="C81" s="3">
        <v>5.8414351851851848E-3</v>
      </c>
      <c r="D81" s="1" t="s">
        <v>45</v>
      </c>
      <c r="E81" s="1" t="s">
        <v>14</v>
      </c>
      <c r="F81" s="1" t="s">
        <v>187</v>
      </c>
      <c r="G81" s="1" t="s">
        <v>29</v>
      </c>
      <c r="H81" s="1" t="str">
        <f>TEXT(Table1[[#This Row],[submission_date]], "dddd")</f>
        <v>Saturday</v>
      </c>
      <c r="I81" s="1" t="str">
        <f>TEXT(Table1[[#This Row],[submission_date]], "mmm-yyyy")</f>
        <v>Jan-1900</v>
      </c>
      <c r="J81" s="1">
        <f>HOUR(Table1[[#This Row],[submission_date]])</f>
        <v>0</v>
      </c>
      <c r="K81" s="5">
        <f>Table1[[#This Row],[resolution_date]] - Table1[[#This Row],[submission_date]]</f>
        <v>-3.483564814814815E-2</v>
      </c>
      <c r="L81" s="5">
        <f>Table1[[#This Row],[res_time]]*24</f>
        <v>-0.83605555555555555</v>
      </c>
      <c r="M81" s="5">
        <f>AVERAGE(Table1[[#This Row],[resolution_date]])</f>
        <v>5.8414351851851848E-3</v>
      </c>
    </row>
    <row r="82" spans="1:13" x14ac:dyDescent="0.3">
      <c r="A82" s="1" t="s">
        <v>188</v>
      </c>
      <c r="B82" s="3">
        <v>3.0262731481481481E-2</v>
      </c>
      <c r="C82" s="3">
        <v>2.266550925925926E-2</v>
      </c>
      <c r="D82" s="1" t="s">
        <v>13</v>
      </c>
      <c r="E82" s="1" t="s">
        <v>35</v>
      </c>
      <c r="F82" s="1" t="s">
        <v>189</v>
      </c>
      <c r="G82" s="1" t="s">
        <v>29</v>
      </c>
      <c r="H82" s="1" t="str">
        <f>TEXT(Table1[[#This Row],[submission_date]], "dddd")</f>
        <v>Saturday</v>
      </c>
      <c r="I82" s="1" t="str">
        <f>TEXT(Table1[[#This Row],[submission_date]], "mmm-yyyy")</f>
        <v>Jan-1900</v>
      </c>
      <c r="J82" s="1">
        <f>HOUR(Table1[[#This Row],[submission_date]])</f>
        <v>0</v>
      </c>
      <c r="K82" s="5">
        <f>Table1[[#This Row],[resolution_date]] - Table1[[#This Row],[submission_date]]</f>
        <v>-7.5972222222222205E-3</v>
      </c>
      <c r="L82" s="5">
        <f>Table1[[#This Row],[res_time]]*24</f>
        <v>-0.18233333333333329</v>
      </c>
      <c r="M82" s="5">
        <f>AVERAGE(Table1[[#This Row],[resolution_date]])</f>
        <v>2.266550925925926E-2</v>
      </c>
    </row>
    <row r="83" spans="1:13" x14ac:dyDescent="0.3">
      <c r="A83" s="1" t="s">
        <v>190</v>
      </c>
      <c r="B83" s="3">
        <v>3.5241898148148147E-2</v>
      </c>
      <c r="C83" s="3">
        <v>4.3518518518518521E-4</v>
      </c>
      <c r="D83" s="1" t="s">
        <v>31</v>
      </c>
      <c r="E83" s="1" t="s">
        <v>22</v>
      </c>
      <c r="F83" s="1" t="s">
        <v>191</v>
      </c>
      <c r="G83" s="1" t="s">
        <v>29</v>
      </c>
      <c r="H83" s="1" t="str">
        <f>TEXT(Table1[[#This Row],[submission_date]], "dddd")</f>
        <v>Saturday</v>
      </c>
      <c r="I83" s="1" t="str">
        <f>TEXT(Table1[[#This Row],[submission_date]], "mmm-yyyy")</f>
        <v>Jan-1900</v>
      </c>
      <c r="J83" s="1">
        <f>HOUR(Table1[[#This Row],[submission_date]])</f>
        <v>0</v>
      </c>
      <c r="K83" s="5">
        <f>Table1[[#This Row],[resolution_date]] - Table1[[#This Row],[submission_date]]</f>
        <v>-3.4806712962962963E-2</v>
      </c>
      <c r="L83" s="5">
        <f>Table1[[#This Row],[res_time]]*24</f>
        <v>-0.83536111111111111</v>
      </c>
      <c r="M83" s="5">
        <f>AVERAGE(Table1[[#This Row],[resolution_date]])</f>
        <v>4.3518518518518521E-4</v>
      </c>
    </row>
    <row r="84" spans="1:13" x14ac:dyDescent="0.3">
      <c r="A84" s="1" t="s">
        <v>192</v>
      </c>
      <c r="B84" s="3">
        <v>1.2120370370370372E-2</v>
      </c>
      <c r="C84" s="3">
        <v>1.4788194444444446E-2</v>
      </c>
      <c r="D84" s="1" t="s">
        <v>13</v>
      </c>
      <c r="E84" s="1" t="s">
        <v>14</v>
      </c>
      <c r="F84" s="1" t="s">
        <v>193</v>
      </c>
      <c r="G84" s="1" t="s">
        <v>16</v>
      </c>
      <c r="H84" s="1" t="str">
        <f>TEXT(Table1[[#This Row],[submission_date]], "dddd")</f>
        <v>Saturday</v>
      </c>
      <c r="I84" s="1" t="str">
        <f>TEXT(Table1[[#This Row],[submission_date]], "mmm-yyyy")</f>
        <v>Jan-1900</v>
      </c>
      <c r="J84" s="1">
        <f>HOUR(Table1[[#This Row],[submission_date]])</f>
        <v>0</v>
      </c>
      <c r="K84" s="5">
        <f>Table1[[#This Row],[resolution_date]] - Table1[[#This Row],[submission_date]]</f>
        <v>2.6678240740740742E-3</v>
      </c>
      <c r="L84" s="5">
        <f>Table1[[#This Row],[res_time]]*24</f>
        <v>6.4027777777777781E-2</v>
      </c>
      <c r="M84" s="5">
        <f>AVERAGE(Table1[[#This Row],[resolution_date]])</f>
        <v>1.4788194444444446E-2</v>
      </c>
    </row>
    <row r="85" spans="1:13" x14ac:dyDescent="0.3">
      <c r="A85" s="1" t="s">
        <v>194</v>
      </c>
      <c r="B85" s="3">
        <v>3.4165509259259264E-2</v>
      </c>
      <c r="C85" s="3">
        <v>1.8233796296296297E-2</v>
      </c>
      <c r="D85" s="1" t="s">
        <v>81</v>
      </c>
      <c r="E85" s="1" t="s">
        <v>25</v>
      </c>
      <c r="F85" s="1" t="s">
        <v>195</v>
      </c>
      <c r="G85" s="1" t="s">
        <v>29</v>
      </c>
      <c r="H85" s="1" t="str">
        <f>TEXT(Table1[[#This Row],[submission_date]], "dddd")</f>
        <v>Saturday</v>
      </c>
      <c r="I85" s="1" t="str">
        <f>TEXT(Table1[[#This Row],[submission_date]], "mmm-yyyy")</f>
        <v>Jan-1900</v>
      </c>
      <c r="J85" s="1">
        <f>HOUR(Table1[[#This Row],[submission_date]])</f>
        <v>0</v>
      </c>
      <c r="K85" s="5">
        <f>Table1[[#This Row],[resolution_date]] - Table1[[#This Row],[submission_date]]</f>
        <v>-1.5931712962962967E-2</v>
      </c>
      <c r="L85" s="5">
        <f>Table1[[#This Row],[res_time]]*24</f>
        <v>-0.38236111111111121</v>
      </c>
      <c r="M85" s="5">
        <f>AVERAGE(Table1[[#This Row],[resolution_date]])</f>
        <v>1.8233796296296297E-2</v>
      </c>
    </row>
    <row r="86" spans="1:13" x14ac:dyDescent="0.3">
      <c r="A86" s="1" t="s">
        <v>196</v>
      </c>
      <c r="B86" s="3">
        <v>6.2962962962962964E-3</v>
      </c>
      <c r="C86" s="3">
        <v>1.4388888888888889E-2</v>
      </c>
      <c r="D86" s="1" t="s">
        <v>21</v>
      </c>
      <c r="E86" s="1" t="s">
        <v>55</v>
      </c>
      <c r="F86" s="1" t="s">
        <v>197</v>
      </c>
      <c r="G86" s="1" t="s">
        <v>29</v>
      </c>
      <c r="H86" s="1" t="str">
        <f>TEXT(Table1[[#This Row],[submission_date]], "dddd")</f>
        <v>Saturday</v>
      </c>
      <c r="I86" s="1" t="str">
        <f>TEXT(Table1[[#This Row],[submission_date]], "mmm-yyyy")</f>
        <v>Jan-1900</v>
      </c>
      <c r="J86" s="1">
        <f>HOUR(Table1[[#This Row],[submission_date]])</f>
        <v>0</v>
      </c>
      <c r="K86" s="5">
        <f>Table1[[#This Row],[resolution_date]] - Table1[[#This Row],[submission_date]]</f>
        <v>8.0925925925925922E-3</v>
      </c>
      <c r="L86" s="5">
        <f>Table1[[#This Row],[res_time]]*24</f>
        <v>0.19422222222222221</v>
      </c>
      <c r="M86" s="5">
        <f>AVERAGE(Table1[[#This Row],[resolution_date]])</f>
        <v>1.4388888888888889E-2</v>
      </c>
    </row>
    <row r="87" spans="1:13" x14ac:dyDescent="0.3">
      <c r="A87" s="1" t="s">
        <v>198</v>
      </c>
      <c r="B87" s="3">
        <v>1.6362268518518519E-2</v>
      </c>
      <c r="C87" s="3">
        <v>5.6747685185185182E-3</v>
      </c>
      <c r="D87" s="1" t="s">
        <v>31</v>
      </c>
      <c r="E87" s="1" t="s">
        <v>32</v>
      </c>
      <c r="F87" s="1" t="s">
        <v>199</v>
      </c>
      <c r="G87" s="1" t="s">
        <v>11</v>
      </c>
      <c r="H87" s="1" t="str">
        <f>TEXT(Table1[[#This Row],[submission_date]], "dddd")</f>
        <v>Saturday</v>
      </c>
      <c r="I87" s="1" t="str">
        <f>TEXT(Table1[[#This Row],[submission_date]], "mmm-yyyy")</f>
        <v>Jan-1900</v>
      </c>
      <c r="J87" s="1">
        <f>HOUR(Table1[[#This Row],[submission_date]])</f>
        <v>0</v>
      </c>
      <c r="K87" s="5">
        <f>Table1[[#This Row],[resolution_date]] - Table1[[#This Row],[submission_date]]</f>
        <v>-1.0687500000000001E-2</v>
      </c>
      <c r="L87" s="5">
        <f>Table1[[#This Row],[res_time]]*24</f>
        <v>-0.25650000000000001</v>
      </c>
      <c r="M87" s="5">
        <f>AVERAGE(Table1[[#This Row],[resolution_date]])</f>
        <v>5.6747685185185182E-3</v>
      </c>
    </row>
    <row r="88" spans="1:13" x14ac:dyDescent="0.3">
      <c r="A88" s="1" t="s">
        <v>200</v>
      </c>
      <c r="B88" s="3">
        <v>1.2957175925925926E-2</v>
      </c>
      <c r="C88" s="3">
        <v>2.5819444444444447E-2</v>
      </c>
      <c r="D88" s="1" t="s">
        <v>13</v>
      </c>
      <c r="E88" s="1" t="s">
        <v>42</v>
      </c>
      <c r="F88" s="1" t="s">
        <v>201</v>
      </c>
      <c r="G88" s="1" t="s">
        <v>16</v>
      </c>
      <c r="H88" s="1" t="str">
        <f>TEXT(Table1[[#This Row],[submission_date]], "dddd")</f>
        <v>Saturday</v>
      </c>
      <c r="I88" s="1" t="str">
        <f>TEXT(Table1[[#This Row],[submission_date]], "mmm-yyyy")</f>
        <v>Jan-1900</v>
      </c>
      <c r="J88" s="1">
        <f>HOUR(Table1[[#This Row],[submission_date]])</f>
        <v>0</v>
      </c>
      <c r="K88" s="5">
        <f>Table1[[#This Row],[resolution_date]] - Table1[[#This Row],[submission_date]]</f>
        <v>1.2862268518518521E-2</v>
      </c>
      <c r="L88" s="5">
        <f>Table1[[#This Row],[res_time]]*24</f>
        <v>0.30869444444444449</v>
      </c>
      <c r="M88" s="5">
        <f>AVERAGE(Table1[[#This Row],[resolution_date]])</f>
        <v>2.5819444444444447E-2</v>
      </c>
    </row>
    <row r="89" spans="1:13" x14ac:dyDescent="0.3">
      <c r="A89" s="1" t="s">
        <v>202</v>
      </c>
      <c r="B89" s="3">
        <v>7.9016203703703713E-3</v>
      </c>
      <c r="C89" s="3">
        <v>8.3564814814814821E-3</v>
      </c>
      <c r="D89" s="1" t="s">
        <v>21</v>
      </c>
      <c r="E89" s="1" t="s">
        <v>18</v>
      </c>
      <c r="F89" s="1" t="s">
        <v>203</v>
      </c>
      <c r="G89" s="1" t="s">
        <v>16</v>
      </c>
      <c r="H89" s="1" t="str">
        <f>TEXT(Table1[[#This Row],[submission_date]], "dddd")</f>
        <v>Saturday</v>
      </c>
      <c r="I89" s="1" t="str">
        <f>TEXT(Table1[[#This Row],[submission_date]], "mmm-yyyy")</f>
        <v>Jan-1900</v>
      </c>
      <c r="J89" s="1">
        <f>HOUR(Table1[[#This Row],[submission_date]])</f>
        <v>0</v>
      </c>
      <c r="K89" s="5">
        <f>Table1[[#This Row],[resolution_date]] - Table1[[#This Row],[submission_date]]</f>
        <v>4.5486111111111074E-4</v>
      </c>
      <c r="L89" s="5">
        <f>Table1[[#This Row],[res_time]]*24</f>
        <v>1.0916666666666658E-2</v>
      </c>
      <c r="M89" s="5">
        <f>AVERAGE(Table1[[#This Row],[resolution_date]])</f>
        <v>8.3564814814814821E-3</v>
      </c>
    </row>
    <row r="90" spans="1:13" x14ac:dyDescent="0.3">
      <c r="A90" s="1" t="s">
        <v>204</v>
      </c>
      <c r="B90" s="3">
        <v>4.0745370370370369E-2</v>
      </c>
      <c r="C90" s="3">
        <v>2.2209490740740741E-2</v>
      </c>
      <c r="D90" s="1" t="s">
        <v>13</v>
      </c>
      <c r="E90" s="1" t="s">
        <v>32</v>
      </c>
      <c r="F90" s="1" t="s">
        <v>205</v>
      </c>
      <c r="G90" s="1" t="s">
        <v>16</v>
      </c>
      <c r="H90" s="1" t="str">
        <f>TEXT(Table1[[#This Row],[submission_date]], "dddd")</f>
        <v>Saturday</v>
      </c>
      <c r="I90" s="1" t="str">
        <f>TEXT(Table1[[#This Row],[submission_date]], "mmm-yyyy")</f>
        <v>Jan-1900</v>
      </c>
      <c r="J90" s="1">
        <f>HOUR(Table1[[#This Row],[submission_date]])</f>
        <v>0</v>
      </c>
      <c r="K90" s="5">
        <f>Table1[[#This Row],[resolution_date]] - Table1[[#This Row],[submission_date]]</f>
        <v>-1.8535879629629628E-2</v>
      </c>
      <c r="L90" s="5">
        <f>Table1[[#This Row],[res_time]]*24</f>
        <v>-0.44486111111111104</v>
      </c>
      <c r="M90" s="5">
        <f>AVERAGE(Table1[[#This Row],[resolution_date]])</f>
        <v>2.2209490740740741E-2</v>
      </c>
    </row>
    <row r="91" spans="1:13" x14ac:dyDescent="0.3">
      <c r="A91" s="1" t="s">
        <v>206</v>
      </c>
      <c r="B91" s="3">
        <v>1.4425925925925927E-2</v>
      </c>
      <c r="C91" s="3">
        <v>1.4957175925925926E-2</v>
      </c>
      <c r="D91" s="1" t="s">
        <v>13</v>
      </c>
      <c r="E91" s="1" t="s">
        <v>32</v>
      </c>
      <c r="F91" s="1" t="s">
        <v>207</v>
      </c>
      <c r="G91" s="1" t="s">
        <v>29</v>
      </c>
      <c r="H91" s="1" t="str">
        <f>TEXT(Table1[[#This Row],[submission_date]], "dddd")</f>
        <v>Saturday</v>
      </c>
      <c r="I91" s="1" t="str">
        <f>TEXT(Table1[[#This Row],[submission_date]], "mmm-yyyy")</f>
        <v>Jan-1900</v>
      </c>
      <c r="J91" s="1">
        <f>HOUR(Table1[[#This Row],[submission_date]])</f>
        <v>0</v>
      </c>
      <c r="K91" s="5">
        <f>Table1[[#This Row],[resolution_date]] - Table1[[#This Row],[submission_date]]</f>
        <v>5.3124999999999874E-4</v>
      </c>
      <c r="L91" s="5">
        <f>Table1[[#This Row],[res_time]]*24</f>
        <v>1.274999999999997E-2</v>
      </c>
      <c r="M91" s="5">
        <f>AVERAGE(Table1[[#This Row],[resolution_date]])</f>
        <v>1.4957175925925926E-2</v>
      </c>
    </row>
    <row r="92" spans="1:13" x14ac:dyDescent="0.3">
      <c r="A92" s="1" t="s">
        <v>208</v>
      </c>
      <c r="B92" s="3">
        <v>3.2060185185185186E-3</v>
      </c>
      <c r="C92" s="3">
        <v>1.5510416666666665E-2</v>
      </c>
      <c r="D92" s="1" t="s">
        <v>13</v>
      </c>
      <c r="E92" s="1" t="s">
        <v>9</v>
      </c>
      <c r="F92" s="1" t="s">
        <v>209</v>
      </c>
      <c r="G92" s="1" t="s">
        <v>16</v>
      </c>
      <c r="H92" s="1" t="str">
        <f>TEXT(Table1[[#This Row],[submission_date]], "dddd")</f>
        <v>Saturday</v>
      </c>
      <c r="I92" s="1" t="str">
        <f>TEXT(Table1[[#This Row],[submission_date]], "mmm-yyyy")</f>
        <v>Jan-1900</v>
      </c>
      <c r="J92" s="1">
        <f>HOUR(Table1[[#This Row],[submission_date]])</f>
        <v>0</v>
      </c>
      <c r="K92" s="5">
        <f>Table1[[#This Row],[resolution_date]] - Table1[[#This Row],[submission_date]]</f>
        <v>1.2304398148148148E-2</v>
      </c>
      <c r="L92" s="5">
        <f>Table1[[#This Row],[res_time]]*24</f>
        <v>0.29530555555555554</v>
      </c>
      <c r="M92" s="5">
        <f>AVERAGE(Table1[[#This Row],[resolution_date]])</f>
        <v>1.5510416666666665E-2</v>
      </c>
    </row>
    <row r="93" spans="1:13" x14ac:dyDescent="0.3">
      <c r="A93" s="1" t="s">
        <v>210</v>
      </c>
      <c r="B93" s="3">
        <v>2.550115740740741E-2</v>
      </c>
      <c r="C93" s="3">
        <v>6.2581018518518524E-3</v>
      </c>
      <c r="D93" s="1" t="s">
        <v>13</v>
      </c>
      <c r="E93" s="1" t="s">
        <v>32</v>
      </c>
      <c r="F93" s="1" t="s">
        <v>211</v>
      </c>
      <c r="G93" s="1" t="s">
        <v>29</v>
      </c>
      <c r="H93" s="1" t="str">
        <f>TEXT(Table1[[#This Row],[submission_date]], "dddd")</f>
        <v>Saturday</v>
      </c>
      <c r="I93" s="1" t="str">
        <f>TEXT(Table1[[#This Row],[submission_date]], "mmm-yyyy")</f>
        <v>Jan-1900</v>
      </c>
      <c r="J93" s="1">
        <f>HOUR(Table1[[#This Row],[submission_date]])</f>
        <v>0</v>
      </c>
      <c r="K93" s="5">
        <f>Table1[[#This Row],[resolution_date]] - Table1[[#This Row],[submission_date]]</f>
        <v>-1.9243055555555558E-2</v>
      </c>
      <c r="L93" s="5">
        <f>Table1[[#This Row],[res_time]]*24</f>
        <v>-0.46183333333333343</v>
      </c>
      <c r="M93" s="5">
        <f>AVERAGE(Table1[[#This Row],[resolution_date]])</f>
        <v>6.2581018518518524E-3</v>
      </c>
    </row>
    <row r="94" spans="1:13" x14ac:dyDescent="0.3">
      <c r="A94" s="1" t="s">
        <v>212</v>
      </c>
      <c r="B94" s="3">
        <v>1.8167824074074076E-2</v>
      </c>
      <c r="C94" s="3">
        <v>3.4459490740740742E-2</v>
      </c>
      <c r="D94" s="1" t="s">
        <v>45</v>
      </c>
      <c r="E94" s="1" t="s">
        <v>22</v>
      </c>
      <c r="F94" s="1" t="s">
        <v>213</v>
      </c>
      <c r="G94" s="1" t="s">
        <v>16</v>
      </c>
      <c r="H94" s="1" t="str">
        <f>TEXT(Table1[[#This Row],[submission_date]], "dddd")</f>
        <v>Saturday</v>
      </c>
      <c r="I94" s="1" t="str">
        <f>TEXT(Table1[[#This Row],[submission_date]], "mmm-yyyy")</f>
        <v>Jan-1900</v>
      </c>
      <c r="J94" s="1">
        <f>HOUR(Table1[[#This Row],[submission_date]])</f>
        <v>0</v>
      </c>
      <c r="K94" s="5">
        <f>Table1[[#This Row],[resolution_date]] - Table1[[#This Row],[submission_date]]</f>
        <v>1.6291666666666666E-2</v>
      </c>
      <c r="L94" s="5">
        <f>Table1[[#This Row],[res_time]]*24</f>
        <v>0.39100000000000001</v>
      </c>
      <c r="M94" s="5">
        <f>AVERAGE(Table1[[#This Row],[resolution_date]])</f>
        <v>3.4459490740740742E-2</v>
      </c>
    </row>
    <row r="95" spans="1:13" x14ac:dyDescent="0.3">
      <c r="A95" s="1" t="s">
        <v>214</v>
      </c>
      <c r="B95" s="3">
        <v>1.925E-2</v>
      </c>
      <c r="C95" s="3">
        <v>6.1539351851851859E-3</v>
      </c>
      <c r="D95" s="1" t="s">
        <v>8</v>
      </c>
      <c r="E95" s="1" t="s">
        <v>22</v>
      </c>
      <c r="F95" s="1" t="s">
        <v>215</v>
      </c>
      <c r="G95" s="1" t="s">
        <v>29</v>
      </c>
      <c r="H95" s="1" t="str">
        <f>TEXT(Table1[[#This Row],[submission_date]], "dddd")</f>
        <v>Saturday</v>
      </c>
      <c r="I95" s="1" t="str">
        <f>TEXT(Table1[[#This Row],[submission_date]], "mmm-yyyy")</f>
        <v>Jan-1900</v>
      </c>
      <c r="J95" s="1">
        <f>HOUR(Table1[[#This Row],[submission_date]])</f>
        <v>0</v>
      </c>
      <c r="K95" s="5">
        <f>Table1[[#This Row],[resolution_date]] - Table1[[#This Row],[submission_date]]</f>
        <v>-1.3096064814814814E-2</v>
      </c>
      <c r="L95" s="5">
        <f>Table1[[#This Row],[res_time]]*24</f>
        <v>-0.3143055555555555</v>
      </c>
      <c r="M95" s="5">
        <f>AVERAGE(Table1[[#This Row],[resolution_date]])</f>
        <v>6.1539351851851859E-3</v>
      </c>
    </row>
    <row r="96" spans="1:13" x14ac:dyDescent="0.3">
      <c r="A96" s="1" t="s">
        <v>216</v>
      </c>
      <c r="B96" s="3">
        <v>4.6435185185185182E-3</v>
      </c>
      <c r="C96" s="3">
        <v>3.0028935185185186E-2</v>
      </c>
      <c r="D96" s="1" t="s">
        <v>31</v>
      </c>
      <c r="E96" s="1" t="s">
        <v>42</v>
      </c>
      <c r="F96" s="1" t="s">
        <v>217</v>
      </c>
      <c r="G96" s="1" t="s">
        <v>29</v>
      </c>
      <c r="H96" s="1" t="str">
        <f>TEXT(Table1[[#This Row],[submission_date]], "dddd")</f>
        <v>Saturday</v>
      </c>
      <c r="I96" s="1" t="str">
        <f>TEXT(Table1[[#This Row],[submission_date]], "mmm-yyyy")</f>
        <v>Jan-1900</v>
      </c>
      <c r="J96" s="1">
        <f>HOUR(Table1[[#This Row],[submission_date]])</f>
        <v>0</v>
      </c>
      <c r="K96" s="5">
        <f>Table1[[#This Row],[resolution_date]] - Table1[[#This Row],[submission_date]]</f>
        <v>2.5385416666666667E-2</v>
      </c>
      <c r="L96" s="5">
        <f>Table1[[#This Row],[res_time]]*24</f>
        <v>0.60925000000000007</v>
      </c>
      <c r="M96" s="5">
        <f>AVERAGE(Table1[[#This Row],[resolution_date]])</f>
        <v>3.0028935185185186E-2</v>
      </c>
    </row>
    <row r="97" spans="1:13" x14ac:dyDescent="0.3">
      <c r="A97" s="1" t="s">
        <v>218</v>
      </c>
      <c r="B97" s="3">
        <v>3.2968749999999998E-2</v>
      </c>
      <c r="C97" s="3">
        <v>3.4261574074074069E-2</v>
      </c>
      <c r="D97" s="1" t="s">
        <v>8</v>
      </c>
      <c r="E97" s="1" t="s">
        <v>9</v>
      </c>
      <c r="F97" s="1" t="s">
        <v>219</v>
      </c>
      <c r="G97" s="1" t="s">
        <v>16</v>
      </c>
      <c r="H97" s="1" t="str">
        <f>TEXT(Table1[[#This Row],[submission_date]], "dddd")</f>
        <v>Saturday</v>
      </c>
      <c r="I97" s="1" t="str">
        <f>TEXT(Table1[[#This Row],[submission_date]], "mmm-yyyy")</f>
        <v>Jan-1900</v>
      </c>
      <c r="J97" s="1">
        <f>HOUR(Table1[[#This Row],[submission_date]])</f>
        <v>0</v>
      </c>
      <c r="K97" s="5">
        <f>Table1[[#This Row],[resolution_date]] - Table1[[#This Row],[submission_date]]</f>
        <v>1.2928240740740712E-3</v>
      </c>
      <c r="L97" s="5">
        <f>Table1[[#This Row],[res_time]]*24</f>
        <v>3.102777777777771E-2</v>
      </c>
      <c r="M97" s="5">
        <f>AVERAGE(Table1[[#This Row],[resolution_date]])</f>
        <v>3.4261574074074069E-2</v>
      </c>
    </row>
    <row r="98" spans="1:13" x14ac:dyDescent="0.3">
      <c r="A98" s="1" t="s">
        <v>220</v>
      </c>
      <c r="B98" s="3">
        <v>3.4546296296296297E-2</v>
      </c>
      <c r="C98" s="3">
        <v>2.3837962962962964E-2</v>
      </c>
      <c r="D98" s="1" t="s">
        <v>31</v>
      </c>
      <c r="E98" s="1" t="s">
        <v>25</v>
      </c>
      <c r="F98" s="1" t="s">
        <v>221</v>
      </c>
      <c r="G98" s="1" t="s">
        <v>29</v>
      </c>
      <c r="H98" s="1" t="str">
        <f>TEXT(Table1[[#This Row],[submission_date]], "dddd")</f>
        <v>Saturday</v>
      </c>
      <c r="I98" s="1" t="str">
        <f>TEXT(Table1[[#This Row],[submission_date]], "mmm-yyyy")</f>
        <v>Jan-1900</v>
      </c>
      <c r="J98" s="1">
        <f>HOUR(Table1[[#This Row],[submission_date]])</f>
        <v>0</v>
      </c>
      <c r="K98" s="5">
        <f>Table1[[#This Row],[resolution_date]] - Table1[[#This Row],[submission_date]]</f>
        <v>-1.0708333333333334E-2</v>
      </c>
      <c r="L98" s="5">
        <f>Table1[[#This Row],[res_time]]*24</f>
        <v>-0.25700000000000001</v>
      </c>
      <c r="M98" s="5">
        <f>AVERAGE(Table1[[#This Row],[resolution_date]])</f>
        <v>2.3837962962962964E-2</v>
      </c>
    </row>
    <row r="99" spans="1:13" x14ac:dyDescent="0.3">
      <c r="A99" s="1" t="s">
        <v>222</v>
      </c>
      <c r="B99" s="3">
        <v>1.133449074074074E-2</v>
      </c>
      <c r="C99" s="3">
        <v>2.0122685185185184E-2</v>
      </c>
      <c r="D99" s="1" t="s">
        <v>21</v>
      </c>
      <c r="E99" s="1" t="s">
        <v>32</v>
      </c>
      <c r="F99" s="1" t="s">
        <v>223</v>
      </c>
      <c r="G99" s="1" t="s">
        <v>29</v>
      </c>
      <c r="H99" s="1" t="str">
        <f>TEXT(Table1[[#This Row],[submission_date]], "dddd")</f>
        <v>Saturday</v>
      </c>
      <c r="I99" s="1" t="str">
        <f>TEXT(Table1[[#This Row],[submission_date]], "mmm-yyyy")</f>
        <v>Jan-1900</v>
      </c>
      <c r="J99" s="1">
        <f>HOUR(Table1[[#This Row],[submission_date]])</f>
        <v>0</v>
      </c>
      <c r="K99" s="5">
        <f>Table1[[#This Row],[resolution_date]] - Table1[[#This Row],[submission_date]]</f>
        <v>8.788194444444444E-3</v>
      </c>
      <c r="L99" s="5">
        <f>Table1[[#This Row],[res_time]]*24</f>
        <v>0.21091666666666664</v>
      </c>
      <c r="M99" s="5">
        <f>AVERAGE(Table1[[#This Row],[resolution_date]])</f>
        <v>2.0122685185185184E-2</v>
      </c>
    </row>
    <row r="100" spans="1:13" x14ac:dyDescent="0.3">
      <c r="A100" s="1" t="s">
        <v>224</v>
      </c>
      <c r="B100" s="3">
        <v>1.5835648148148147E-2</v>
      </c>
      <c r="C100" s="3">
        <v>1.8405092592592594E-2</v>
      </c>
      <c r="D100" s="1" t="s">
        <v>13</v>
      </c>
      <c r="E100" s="1" t="s">
        <v>14</v>
      </c>
      <c r="F100" s="1" t="s">
        <v>225</v>
      </c>
      <c r="G100" s="1" t="s">
        <v>11</v>
      </c>
      <c r="H100" s="1" t="str">
        <f>TEXT(Table1[[#This Row],[submission_date]], "dddd")</f>
        <v>Saturday</v>
      </c>
      <c r="I100" s="1" t="str">
        <f>TEXT(Table1[[#This Row],[submission_date]], "mmm-yyyy")</f>
        <v>Jan-1900</v>
      </c>
      <c r="J100" s="1">
        <f>HOUR(Table1[[#This Row],[submission_date]])</f>
        <v>0</v>
      </c>
      <c r="K100" s="5">
        <f>Table1[[#This Row],[resolution_date]] - Table1[[#This Row],[submission_date]]</f>
        <v>2.5694444444444471E-3</v>
      </c>
      <c r="L100" s="5">
        <f>Table1[[#This Row],[res_time]]*24</f>
        <v>6.1666666666666731E-2</v>
      </c>
      <c r="M100" s="5">
        <f>AVERAGE(Table1[[#This Row],[resolution_date]])</f>
        <v>1.8405092592592594E-2</v>
      </c>
    </row>
    <row r="101" spans="1:13" x14ac:dyDescent="0.3">
      <c r="A101" s="1" t="s">
        <v>226</v>
      </c>
      <c r="B101" s="3">
        <v>1.0687499999999999E-2</v>
      </c>
      <c r="C101" s="3">
        <v>2.8263888888888887E-3</v>
      </c>
      <c r="D101" s="1" t="s">
        <v>21</v>
      </c>
      <c r="E101" s="1" t="s">
        <v>25</v>
      </c>
      <c r="F101" s="1" t="s">
        <v>227</v>
      </c>
      <c r="G101" s="1" t="s">
        <v>16</v>
      </c>
      <c r="H101" s="1" t="str">
        <f>TEXT(Table1[[#This Row],[submission_date]], "dddd")</f>
        <v>Saturday</v>
      </c>
      <c r="I101" s="1" t="str">
        <f>TEXT(Table1[[#This Row],[submission_date]], "mmm-yyyy")</f>
        <v>Jan-1900</v>
      </c>
      <c r="J101" s="1">
        <f>HOUR(Table1[[#This Row],[submission_date]])</f>
        <v>0</v>
      </c>
      <c r="K101" s="5">
        <f>Table1[[#This Row],[resolution_date]] - Table1[[#This Row],[submission_date]]</f>
        <v>-7.8611111111111104E-3</v>
      </c>
      <c r="L101" s="5">
        <f>Table1[[#This Row],[res_time]]*24</f>
        <v>-0.18866666666666665</v>
      </c>
      <c r="M101" s="5">
        <f>AVERAGE(Table1[[#This Row],[resolution_date]])</f>
        <v>2.8263888888888887E-3</v>
      </c>
    </row>
    <row r="102" spans="1:13" x14ac:dyDescent="0.3">
      <c r="A102" s="1" t="s">
        <v>228</v>
      </c>
      <c r="B102" s="3">
        <v>9.5324074074074078E-3</v>
      </c>
      <c r="C102" s="3">
        <v>1.238773148148148E-2</v>
      </c>
      <c r="D102" s="1" t="s">
        <v>13</v>
      </c>
      <c r="E102" s="1" t="s">
        <v>32</v>
      </c>
      <c r="F102" s="1" t="s">
        <v>229</v>
      </c>
      <c r="G102" s="1" t="s">
        <v>115</v>
      </c>
      <c r="H102" s="1" t="str">
        <f>TEXT(Table1[[#This Row],[submission_date]], "dddd")</f>
        <v>Saturday</v>
      </c>
      <c r="I102" s="1" t="str">
        <f>TEXT(Table1[[#This Row],[submission_date]], "mmm-yyyy")</f>
        <v>Jan-1900</v>
      </c>
      <c r="J102" s="1">
        <f>HOUR(Table1[[#This Row],[submission_date]])</f>
        <v>0</v>
      </c>
      <c r="K102" s="5">
        <f>Table1[[#This Row],[resolution_date]] - Table1[[#This Row],[submission_date]]</f>
        <v>2.8553240740740726E-3</v>
      </c>
      <c r="L102" s="5">
        <f>Table1[[#This Row],[res_time]]*24</f>
        <v>6.8527777777777743E-2</v>
      </c>
      <c r="M102" s="5">
        <f>AVERAGE(Table1[[#This Row],[resolution_date]])</f>
        <v>1.238773148148148E-2</v>
      </c>
    </row>
    <row r="103" spans="1:13" x14ac:dyDescent="0.3">
      <c r="A103" s="1" t="s">
        <v>230</v>
      </c>
      <c r="B103" s="3">
        <v>3.8317129629629632E-2</v>
      </c>
      <c r="C103" s="3">
        <v>2.1872685185185186E-2</v>
      </c>
      <c r="D103" s="1" t="s">
        <v>13</v>
      </c>
      <c r="E103" s="1" t="s">
        <v>42</v>
      </c>
      <c r="F103" s="1" t="s">
        <v>231</v>
      </c>
      <c r="G103" s="1" t="s">
        <v>16</v>
      </c>
      <c r="H103" s="1" t="str">
        <f>TEXT(Table1[[#This Row],[submission_date]], "dddd")</f>
        <v>Saturday</v>
      </c>
      <c r="I103" s="1" t="str">
        <f>TEXT(Table1[[#This Row],[submission_date]], "mmm-yyyy")</f>
        <v>Jan-1900</v>
      </c>
      <c r="J103" s="1">
        <f>HOUR(Table1[[#This Row],[submission_date]])</f>
        <v>0</v>
      </c>
      <c r="K103" s="5">
        <f>Table1[[#This Row],[resolution_date]] - Table1[[#This Row],[submission_date]]</f>
        <v>-1.6444444444444446E-2</v>
      </c>
      <c r="L103" s="5">
        <f>Table1[[#This Row],[res_time]]*24</f>
        <v>-0.39466666666666672</v>
      </c>
      <c r="M103" s="5">
        <f>AVERAGE(Table1[[#This Row],[resolution_date]])</f>
        <v>2.1872685185185186E-2</v>
      </c>
    </row>
    <row r="104" spans="1:13" x14ac:dyDescent="0.3">
      <c r="A104" s="1" t="s">
        <v>232</v>
      </c>
      <c r="B104" s="3">
        <v>3.4260416666666668E-2</v>
      </c>
      <c r="C104" s="3">
        <v>1.4388888888888889E-2</v>
      </c>
      <c r="D104" s="1" t="s">
        <v>8</v>
      </c>
      <c r="E104" s="1" t="s">
        <v>32</v>
      </c>
      <c r="F104" s="1" t="s">
        <v>233</v>
      </c>
      <c r="G104" s="1" t="s">
        <v>29</v>
      </c>
      <c r="H104" s="1" t="str">
        <f>TEXT(Table1[[#This Row],[submission_date]], "dddd")</f>
        <v>Saturday</v>
      </c>
      <c r="I104" s="1" t="str">
        <f>TEXT(Table1[[#This Row],[submission_date]], "mmm-yyyy")</f>
        <v>Jan-1900</v>
      </c>
      <c r="J104" s="1">
        <f>HOUR(Table1[[#This Row],[submission_date]])</f>
        <v>0</v>
      </c>
      <c r="K104" s="5">
        <f>Table1[[#This Row],[resolution_date]] - Table1[[#This Row],[submission_date]]</f>
        <v>-1.987152777777778E-2</v>
      </c>
      <c r="L104" s="5">
        <f>Table1[[#This Row],[res_time]]*24</f>
        <v>-0.47691666666666671</v>
      </c>
      <c r="M104" s="5">
        <f>AVERAGE(Table1[[#This Row],[resolution_date]])</f>
        <v>1.4388888888888889E-2</v>
      </c>
    </row>
    <row r="105" spans="1:13" x14ac:dyDescent="0.3">
      <c r="A105" s="1" t="s">
        <v>234</v>
      </c>
      <c r="B105" s="3">
        <v>2.5032407407407409E-2</v>
      </c>
      <c r="C105" s="3">
        <v>4.1493055555555554E-2</v>
      </c>
      <c r="D105" s="1" t="s">
        <v>13</v>
      </c>
      <c r="E105" s="1" t="s">
        <v>55</v>
      </c>
      <c r="F105" s="1" t="s">
        <v>235</v>
      </c>
      <c r="G105" s="1" t="s">
        <v>16</v>
      </c>
      <c r="H105" s="1" t="str">
        <f>TEXT(Table1[[#This Row],[submission_date]], "dddd")</f>
        <v>Saturday</v>
      </c>
      <c r="I105" s="1" t="str">
        <f>TEXT(Table1[[#This Row],[submission_date]], "mmm-yyyy")</f>
        <v>Jan-1900</v>
      </c>
      <c r="J105" s="1">
        <f>HOUR(Table1[[#This Row],[submission_date]])</f>
        <v>0</v>
      </c>
      <c r="K105" s="5">
        <f>Table1[[#This Row],[resolution_date]] - Table1[[#This Row],[submission_date]]</f>
        <v>1.6460648148148144E-2</v>
      </c>
      <c r="L105" s="5">
        <f>Table1[[#This Row],[res_time]]*24</f>
        <v>0.39505555555555549</v>
      </c>
      <c r="M105" s="5">
        <f>AVERAGE(Table1[[#This Row],[resolution_date]])</f>
        <v>4.1493055555555554E-2</v>
      </c>
    </row>
    <row r="106" spans="1:13" x14ac:dyDescent="0.3">
      <c r="A106" s="1" t="s">
        <v>236</v>
      </c>
      <c r="B106" s="3">
        <v>1.320949074074074E-2</v>
      </c>
      <c r="C106" s="3">
        <v>2.5315972222222226E-2</v>
      </c>
      <c r="D106" s="1" t="s">
        <v>81</v>
      </c>
      <c r="E106" s="1" t="s">
        <v>55</v>
      </c>
      <c r="F106" s="1" t="s">
        <v>237</v>
      </c>
      <c r="G106" s="1" t="s">
        <v>11</v>
      </c>
      <c r="H106" s="1" t="str">
        <f>TEXT(Table1[[#This Row],[submission_date]], "dddd")</f>
        <v>Saturday</v>
      </c>
      <c r="I106" s="1" t="str">
        <f>TEXT(Table1[[#This Row],[submission_date]], "mmm-yyyy")</f>
        <v>Jan-1900</v>
      </c>
      <c r="J106" s="1">
        <f>HOUR(Table1[[#This Row],[submission_date]])</f>
        <v>0</v>
      </c>
      <c r="K106" s="5">
        <f>Table1[[#This Row],[resolution_date]] - Table1[[#This Row],[submission_date]]</f>
        <v>1.2106481481481485E-2</v>
      </c>
      <c r="L106" s="5">
        <f>Table1[[#This Row],[res_time]]*24</f>
        <v>0.29055555555555568</v>
      </c>
      <c r="M106" s="5">
        <f>AVERAGE(Table1[[#This Row],[resolution_date]])</f>
        <v>2.5315972222222226E-2</v>
      </c>
    </row>
    <row r="107" spans="1:13" x14ac:dyDescent="0.3">
      <c r="A107" s="1" t="s">
        <v>238</v>
      </c>
      <c r="B107" s="3">
        <v>3.1321759259259258E-2</v>
      </c>
      <c r="C107" s="3">
        <v>2.8745370370370369E-2</v>
      </c>
      <c r="D107" s="1" t="s">
        <v>45</v>
      </c>
      <c r="E107" s="1" t="s">
        <v>46</v>
      </c>
      <c r="F107" s="1" t="s">
        <v>239</v>
      </c>
      <c r="G107" s="1" t="s">
        <v>29</v>
      </c>
      <c r="H107" s="1" t="str">
        <f>TEXT(Table1[[#This Row],[submission_date]], "dddd")</f>
        <v>Saturday</v>
      </c>
      <c r="I107" s="1" t="str">
        <f>TEXT(Table1[[#This Row],[submission_date]], "mmm-yyyy")</f>
        <v>Jan-1900</v>
      </c>
      <c r="J107" s="1">
        <f>HOUR(Table1[[#This Row],[submission_date]])</f>
        <v>0</v>
      </c>
      <c r="K107" s="5">
        <f>Table1[[#This Row],[resolution_date]] - Table1[[#This Row],[submission_date]]</f>
        <v>-2.5763888888888885E-3</v>
      </c>
      <c r="L107" s="5">
        <f>Table1[[#This Row],[res_time]]*24</f>
        <v>-6.1833333333333323E-2</v>
      </c>
      <c r="M107" s="5">
        <f>AVERAGE(Table1[[#This Row],[resolution_date]])</f>
        <v>2.8745370370370369E-2</v>
      </c>
    </row>
    <row r="108" spans="1:13" x14ac:dyDescent="0.3">
      <c r="A108" s="1" t="s">
        <v>240</v>
      </c>
      <c r="B108" s="3">
        <v>1.2519675925925927E-2</v>
      </c>
      <c r="C108" s="3">
        <v>2.0572916666666666E-2</v>
      </c>
      <c r="D108" s="1" t="s">
        <v>81</v>
      </c>
      <c r="E108" s="1" t="s">
        <v>18</v>
      </c>
      <c r="F108" s="1" t="s">
        <v>241</v>
      </c>
      <c r="G108" s="1" t="s">
        <v>16</v>
      </c>
      <c r="H108" s="1" t="str">
        <f>TEXT(Table1[[#This Row],[submission_date]], "dddd")</f>
        <v>Saturday</v>
      </c>
      <c r="I108" s="1" t="str">
        <f>TEXT(Table1[[#This Row],[submission_date]], "mmm-yyyy")</f>
        <v>Jan-1900</v>
      </c>
      <c r="J108" s="1">
        <f>HOUR(Table1[[#This Row],[submission_date]])</f>
        <v>0</v>
      </c>
      <c r="K108" s="5">
        <f>Table1[[#This Row],[resolution_date]] - Table1[[#This Row],[submission_date]]</f>
        <v>8.0532407407407393E-3</v>
      </c>
      <c r="L108" s="5">
        <f>Table1[[#This Row],[res_time]]*24</f>
        <v>0.19327777777777774</v>
      </c>
      <c r="M108" s="5">
        <f>AVERAGE(Table1[[#This Row],[resolution_date]])</f>
        <v>2.0572916666666666E-2</v>
      </c>
    </row>
    <row r="109" spans="1:13" x14ac:dyDescent="0.3">
      <c r="A109" s="1" t="s">
        <v>242</v>
      </c>
      <c r="B109" s="3">
        <v>3.763773148148148E-2</v>
      </c>
      <c r="C109" s="3">
        <v>7.7708333333333327E-3</v>
      </c>
      <c r="D109" s="1" t="s">
        <v>21</v>
      </c>
      <c r="E109" s="1" t="s">
        <v>14</v>
      </c>
      <c r="F109" s="1" t="s">
        <v>243</v>
      </c>
      <c r="G109" s="1" t="s">
        <v>29</v>
      </c>
      <c r="H109" s="1" t="str">
        <f>TEXT(Table1[[#This Row],[submission_date]], "dddd")</f>
        <v>Saturday</v>
      </c>
      <c r="I109" s="1" t="str">
        <f>TEXT(Table1[[#This Row],[submission_date]], "mmm-yyyy")</f>
        <v>Jan-1900</v>
      </c>
      <c r="J109" s="1">
        <f>HOUR(Table1[[#This Row],[submission_date]])</f>
        <v>0</v>
      </c>
      <c r="K109" s="5">
        <f>Table1[[#This Row],[resolution_date]] - Table1[[#This Row],[submission_date]]</f>
        <v>-2.9866898148148149E-2</v>
      </c>
      <c r="L109" s="5">
        <f>Table1[[#This Row],[res_time]]*24</f>
        <v>-0.71680555555555558</v>
      </c>
      <c r="M109" s="5">
        <f>AVERAGE(Table1[[#This Row],[resolution_date]])</f>
        <v>7.7708333333333327E-3</v>
      </c>
    </row>
    <row r="110" spans="1:13" x14ac:dyDescent="0.3">
      <c r="A110" s="1" t="s">
        <v>244</v>
      </c>
      <c r="B110" s="3">
        <v>3.9994212962962961E-2</v>
      </c>
      <c r="C110" s="3">
        <v>3.911111111111111E-2</v>
      </c>
      <c r="D110" s="1" t="s">
        <v>21</v>
      </c>
      <c r="E110" s="1" t="s">
        <v>18</v>
      </c>
      <c r="F110" s="1" t="s">
        <v>245</v>
      </c>
      <c r="G110" s="1" t="s">
        <v>11</v>
      </c>
      <c r="H110" s="1" t="str">
        <f>TEXT(Table1[[#This Row],[submission_date]], "dddd")</f>
        <v>Saturday</v>
      </c>
      <c r="I110" s="1" t="str">
        <f>TEXT(Table1[[#This Row],[submission_date]], "mmm-yyyy")</f>
        <v>Jan-1900</v>
      </c>
      <c r="J110" s="1">
        <f>HOUR(Table1[[#This Row],[submission_date]])</f>
        <v>0</v>
      </c>
      <c r="K110" s="5">
        <f>Table1[[#This Row],[resolution_date]] - Table1[[#This Row],[submission_date]]</f>
        <v>-8.8310185185185019E-4</v>
      </c>
      <c r="L110" s="5">
        <f>Table1[[#This Row],[res_time]]*24</f>
        <v>-2.1194444444444405E-2</v>
      </c>
      <c r="M110" s="5">
        <f>AVERAGE(Table1[[#This Row],[resolution_date]])</f>
        <v>3.911111111111111E-2</v>
      </c>
    </row>
    <row r="111" spans="1:13" x14ac:dyDescent="0.3">
      <c r="A111" s="1" t="s">
        <v>246</v>
      </c>
      <c r="B111" s="3">
        <v>1.6813657407407409E-2</v>
      </c>
      <c r="C111" s="3">
        <v>1.7074074074074075E-2</v>
      </c>
      <c r="D111" s="1" t="s">
        <v>13</v>
      </c>
      <c r="E111" s="1" t="s">
        <v>18</v>
      </c>
      <c r="F111" s="1" t="s">
        <v>247</v>
      </c>
      <c r="G111" s="1" t="s">
        <v>29</v>
      </c>
      <c r="H111" s="1" t="str">
        <f>TEXT(Table1[[#This Row],[submission_date]], "dddd")</f>
        <v>Saturday</v>
      </c>
      <c r="I111" s="1" t="str">
        <f>TEXT(Table1[[#This Row],[submission_date]], "mmm-yyyy")</f>
        <v>Jan-1900</v>
      </c>
      <c r="J111" s="1">
        <f>HOUR(Table1[[#This Row],[submission_date]])</f>
        <v>0</v>
      </c>
      <c r="K111" s="5">
        <f>Table1[[#This Row],[resolution_date]] - Table1[[#This Row],[submission_date]]</f>
        <v>2.6041666666666574E-4</v>
      </c>
      <c r="L111" s="5">
        <f>Table1[[#This Row],[res_time]]*24</f>
        <v>6.2499999999999778E-3</v>
      </c>
      <c r="M111" s="5">
        <f>AVERAGE(Table1[[#This Row],[resolution_date]])</f>
        <v>1.7074074074074075E-2</v>
      </c>
    </row>
    <row r="112" spans="1:13" x14ac:dyDescent="0.3">
      <c r="A112" s="1" t="s">
        <v>248</v>
      </c>
      <c r="B112" s="3">
        <v>3.9160879629629629E-2</v>
      </c>
      <c r="C112" s="3">
        <v>2.4899305555555556E-2</v>
      </c>
      <c r="D112" s="1" t="s">
        <v>31</v>
      </c>
      <c r="E112" s="1" t="s">
        <v>42</v>
      </c>
      <c r="F112" s="1" t="s">
        <v>249</v>
      </c>
      <c r="G112" s="1" t="s">
        <v>11</v>
      </c>
      <c r="H112" s="1" t="str">
        <f>TEXT(Table1[[#This Row],[submission_date]], "dddd")</f>
        <v>Saturday</v>
      </c>
      <c r="I112" s="1" t="str">
        <f>TEXT(Table1[[#This Row],[submission_date]], "mmm-yyyy")</f>
        <v>Jan-1900</v>
      </c>
      <c r="J112" s="1">
        <f>HOUR(Table1[[#This Row],[submission_date]])</f>
        <v>0</v>
      </c>
      <c r="K112" s="5">
        <f>Table1[[#This Row],[resolution_date]] - Table1[[#This Row],[submission_date]]</f>
        <v>-1.4261574074074072E-2</v>
      </c>
      <c r="L112" s="5">
        <f>Table1[[#This Row],[res_time]]*24</f>
        <v>-0.34227777777777774</v>
      </c>
      <c r="M112" s="5">
        <f>AVERAGE(Table1[[#This Row],[resolution_date]])</f>
        <v>2.4899305555555556E-2</v>
      </c>
    </row>
    <row r="113" spans="1:13" x14ac:dyDescent="0.3">
      <c r="A113" s="1" t="s">
        <v>250</v>
      </c>
      <c r="B113" s="3">
        <v>2.0770833333333332E-2</v>
      </c>
      <c r="C113" s="3">
        <v>2.7917824074074074E-2</v>
      </c>
      <c r="D113" s="1" t="s">
        <v>13</v>
      </c>
      <c r="E113" s="1" t="s">
        <v>18</v>
      </c>
      <c r="F113" s="1" t="s">
        <v>251</v>
      </c>
      <c r="G113" s="1" t="s">
        <v>29</v>
      </c>
      <c r="H113" s="1" t="str">
        <f>TEXT(Table1[[#This Row],[submission_date]], "dddd")</f>
        <v>Saturday</v>
      </c>
      <c r="I113" s="1" t="str">
        <f>TEXT(Table1[[#This Row],[submission_date]], "mmm-yyyy")</f>
        <v>Jan-1900</v>
      </c>
      <c r="J113" s="1">
        <f>HOUR(Table1[[#This Row],[submission_date]])</f>
        <v>0</v>
      </c>
      <c r="K113" s="5">
        <f>Table1[[#This Row],[resolution_date]] - Table1[[#This Row],[submission_date]]</f>
        <v>7.1469907407407419E-3</v>
      </c>
      <c r="L113" s="5">
        <f>Table1[[#This Row],[res_time]]*24</f>
        <v>0.17152777777777781</v>
      </c>
      <c r="M113" s="5">
        <f>AVERAGE(Table1[[#This Row],[resolution_date]])</f>
        <v>2.7917824074074074E-2</v>
      </c>
    </row>
    <row r="114" spans="1:13" x14ac:dyDescent="0.3">
      <c r="A114" s="1" t="s">
        <v>252</v>
      </c>
      <c r="B114" s="3">
        <v>1.517361111111111E-3</v>
      </c>
      <c r="C114" s="3">
        <v>2.8421296296296295E-2</v>
      </c>
      <c r="D114" s="1" t="s">
        <v>60</v>
      </c>
      <c r="E114" s="1" t="s">
        <v>14</v>
      </c>
      <c r="F114" s="1" t="s">
        <v>253</v>
      </c>
      <c r="G114" s="1" t="s">
        <v>29</v>
      </c>
      <c r="H114" s="1" t="str">
        <f>TEXT(Table1[[#This Row],[submission_date]], "dddd")</f>
        <v>Saturday</v>
      </c>
      <c r="I114" s="1" t="str">
        <f>TEXT(Table1[[#This Row],[submission_date]], "mmm-yyyy")</f>
        <v>Jan-1900</v>
      </c>
      <c r="J114" s="1">
        <f>HOUR(Table1[[#This Row],[submission_date]])</f>
        <v>0</v>
      </c>
      <c r="K114" s="5">
        <f>Table1[[#This Row],[resolution_date]] - Table1[[#This Row],[submission_date]]</f>
        <v>2.6903935185185184E-2</v>
      </c>
      <c r="L114" s="5">
        <f>Table1[[#This Row],[res_time]]*24</f>
        <v>0.64569444444444435</v>
      </c>
      <c r="M114" s="5">
        <f>AVERAGE(Table1[[#This Row],[resolution_date]])</f>
        <v>2.8421296296296295E-2</v>
      </c>
    </row>
    <row r="115" spans="1:13" x14ac:dyDescent="0.3">
      <c r="A115" s="1" t="s">
        <v>254</v>
      </c>
      <c r="B115" s="3">
        <v>1.3751157407407406E-2</v>
      </c>
      <c r="C115" s="3">
        <v>2.1934027777777778E-2</v>
      </c>
      <c r="D115" s="1" t="s">
        <v>21</v>
      </c>
      <c r="E115" s="1" t="s">
        <v>22</v>
      </c>
      <c r="F115" s="1" t="s">
        <v>255</v>
      </c>
      <c r="G115" s="1" t="s">
        <v>11</v>
      </c>
      <c r="H115" s="1" t="str">
        <f>TEXT(Table1[[#This Row],[submission_date]], "dddd")</f>
        <v>Saturday</v>
      </c>
      <c r="I115" s="1" t="str">
        <f>TEXT(Table1[[#This Row],[submission_date]], "mmm-yyyy")</f>
        <v>Jan-1900</v>
      </c>
      <c r="J115" s="1">
        <f>HOUR(Table1[[#This Row],[submission_date]])</f>
        <v>0</v>
      </c>
      <c r="K115" s="5">
        <f>Table1[[#This Row],[resolution_date]] - Table1[[#This Row],[submission_date]]</f>
        <v>8.1828703703703716E-3</v>
      </c>
      <c r="L115" s="5">
        <f>Table1[[#This Row],[res_time]]*24</f>
        <v>0.19638888888888892</v>
      </c>
      <c r="M115" s="5">
        <f>AVERAGE(Table1[[#This Row],[resolution_date]])</f>
        <v>2.1934027777777778E-2</v>
      </c>
    </row>
    <row r="116" spans="1:13" x14ac:dyDescent="0.3">
      <c r="A116" s="1" t="s">
        <v>256</v>
      </c>
      <c r="B116" s="3">
        <v>2.7258101851851849E-2</v>
      </c>
      <c r="C116" s="3">
        <v>5.1863425925925931E-3</v>
      </c>
      <c r="D116" s="1" t="s">
        <v>8</v>
      </c>
      <c r="E116" s="1" t="s">
        <v>25</v>
      </c>
      <c r="F116" s="1" t="s">
        <v>257</v>
      </c>
      <c r="G116" s="1" t="s">
        <v>16</v>
      </c>
      <c r="H116" s="1" t="str">
        <f>TEXT(Table1[[#This Row],[submission_date]], "dddd")</f>
        <v>Saturday</v>
      </c>
      <c r="I116" s="1" t="str">
        <f>TEXT(Table1[[#This Row],[submission_date]], "mmm-yyyy")</f>
        <v>Jan-1900</v>
      </c>
      <c r="J116" s="1">
        <f>HOUR(Table1[[#This Row],[submission_date]])</f>
        <v>0</v>
      </c>
      <c r="K116" s="5">
        <f>Table1[[#This Row],[resolution_date]] - Table1[[#This Row],[submission_date]]</f>
        <v>-2.2071759259259256E-2</v>
      </c>
      <c r="L116" s="5">
        <f>Table1[[#This Row],[res_time]]*24</f>
        <v>-0.52972222222222221</v>
      </c>
      <c r="M116" s="5">
        <f>AVERAGE(Table1[[#This Row],[resolution_date]])</f>
        <v>5.1863425925925931E-3</v>
      </c>
    </row>
    <row r="117" spans="1:13" x14ac:dyDescent="0.3">
      <c r="A117" s="1" t="s">
        <v>258</v>
      </c>
      <c r="B117" s="3">
        <v>1.5844907407407409E-3</v>
      </c>
      <c r="C117" s="3">
        <v>3.5277777777777776E-2</v>
      </c>
      <c r="D117" s="1" t="s">
        <v>31</v>
      </c>
      <c r="E117" s="1" t="s">
        <v>55</v>
      </c>
      <c r="F117" s="1" t="s">
        <v>259</v>
      </c>
      <c r="G117" s="1" t="s">
        <v>29</v>
      </c>
      <c r="H117" s="1" t="str">
        <f>TEXT(Table1[[#This Row],[submission_date]], "dddd")</f>
        <v>Saturday</v>
      </c>
      <c r="I117" s="1" t="str">
        <f>TEXT(Table1[[#This Row],[submission_date]], "mmm-yyyy")</f>
        <v>Jan-1900</v>
      </c>
      <c r="J117" s="1">
        <f>HOUR(Table1[[#This Row],[submission_date]])</f>
        <v>0</v>
      </c>
      <c r="K117" s="5">
        <f>Table1[[#This Row],[resolution_date]] - Table1[[#This Row],[submission_date]]</f>
        <v>3.3693287037037035E-2</v>
      </c>
      <c r="L117" s="5">
        <f>Table1[[#This Row],[res_time]]*24</f>
        <v>0.80863888888888891</v>
      </c>
      <c r="M117" s="5">
        <f>AVERAGE(Table1[[#This Row],[resolution_date]])</f>
        <v>3.5277777777777776E-2</v>
      </c>
    </row>
    <row r="118" spans="1:13" x14ac:dyDescent="0.3">
      <c r="A118" s="1" t="s">
        <v>260</v>
      </c>
      <c r="B118" s="3">
        <v>2.0348379629629629E-2</v>
      </c>
      <c r="C118" s="3">
        <v>3.4958333333333334E-2</v>
      </c>
      <c r="D118" s="1" t="s">
        <v>13</v>
      </c>
      <c r="E118" s="1" t="s">
        <v>18</v>
      </c>
      <c r="F118" s="1" t="s">
        <v>261</v>
      </c>
      <c r="G118" s="1" t="s">
        <v>16</v>
      </c>
      <c r="H118" s="1" t="str">
        <f>TEXT(Table1[[#This Row],[submission_date]], "dddd")</f>
        <v>Saturday</v>
      </c>
      <c r="I118" s="1" t="str">
        <f>TEXT(Table1[[#This Row],[submission_date]], "mmm-yyyy")</f>
        <v>Jan-1900</v>
      </c>
      <c r="J118" s="1">
        <f>HOUR(Table1[[#This Row],[submission_date]])</f>
        <v>0</v>
      </c>
      <c r="K118" s="5">
        <f>Table1[[#This Row],[resolution_date]] - Table1[[#This Row],[submission_date]]</f>
        <v>1.4609953703703705E-2</v>
      </c>
      <c r="L118" s="5">
        <f>Table1[[#This Row],[res_time]]*24</f>
        <v>0.35063888888888894</v>
      </c>
      <c r="M118" s="5">
        <f>AVERAGE(Table1[[#This Row],[resolution_date]])</f>
        <v>3.4958333333333334E-2</v>
      </c>
    </row>
    <row r="119" spans="1:13" x14ac:dyDescent="0.3">
      <c r="A119" s="1" t="s">
        <v>262</v>
      </c>
      <c r="B119" s="3">
        <v>2.7818287037037037E-2</v>
      </c>
      <c r="C119" s="3">
        <v>1.3034722222222224E-2</v>
      </c>
      <c r="D119" s="1" t="s">
        <v>31</v>
      </c>
      <c r="E119" s="1" t="s">
        <v>46</v>
      </c>
      <c r="F119" s="1" t="s">
        <v>263</v>
      </c>
      <c r="G119" s="1" t="s">
        <v>16</v>
      </c>
      <c r="H119" s="1" t="str">
        <f>TEXT(Table1[[#This Row],[submission_date]], "dddd")</f>
        <v>Saturday</v>
      </c>
      <c r="I119" s="1" t="str">
        <f>TEXT(Table1[[#This Row],[submission_date]], "mmm-yyyy")</f>
        <v>Jan-1900</v>
      </c>
      <c r="J119" s="1">
        <f>HOUR(Table1[[#This Row],[submission_date]])</f>
        <v>0</v>
      </c>
      <c r="K119" s="5">
        <f>Table1[[#This Row],[resolution_date]] - Table1[[#This Row],[submission_date]]</f>
        <v>-1.4783564814814814E-2</v>
      </c>
      <c r="L119" s="5">
        <f>Table1[[#This Row],[res_time]]*24</f>
        <v>-0.35480555555555554</v>
      </c>
      <c r="M119" s="5">
        <f>AVERAGE(Table1[[#This Row],[resolution_date]])</f>
        <v>1.3034722222222224E-2</v>
      </c>
    </row>
    <row r="120" spans="1:13" x14ac:dyDescent="0.3">
      <c r="A120" s="1" t="s">
        <v>264</v>
      </c>
      <c r="B120" s="3">
        <v>2.9429398148148146E-2</v>
      </c>
      <c r="C120" s="3">
        <v>4.1630787037037036E-2</v>
      </c>
      <c r="D120" s="1" t="s">
        <v>81</v>
      </c>
      <c r="E120" s="1" t="s">
        <v>32</v>
      </c>
      <c r="F120" s="1" t="s">
        <v>265</v>
      </c>
      <c r="G120" s="1" t="s">
        <v>29</v>
      </c>
      <c r="H120" s="1" t="str">
        <f>TEXT(Table1[[#This Row],[submission_date]], "dddd")</f>
        <v>Saturday</v>
      </c>
      <c r="I120" s="1" t="str">
        <f>TEXT(Table1[[#This Row],[submission_date]], "mmm-yyyy")</f>
        <v>Jan-1900</v>
      </c>
      <c r="J120" s="1">
        <f>HOUR(Table1[[#This Row],[submission_date]])</f>
        <v>0</v>
      </c>
      <c r="K120" s="5">
        <f>Table1[[#This Row],[resolution_date]] - Table1[[#This Row],[submission_date]]</f>
        <v>1.220138888888889E-2</v>
      </c>
      <c r="L120" s="5">
        <f>Table1[[#This Row],[res_time]]*24</f>
        <v>0.29283333333333339</v>
      </c>
      <c r="M120" s="5">
        <f>AVERAGE(Table1[[#This Row],[resolution_date]])</f>
        <v>4.1630787037037036E-2</v>
      </c>
    </row>
    <row r="121" spans="1:13" x14ac:dyDescent="0.3">
      <c r="A121" s="1" t="s">
        <v>266</v>
      </c>
      <c r="B121" s="3">
        <v>1.0814814814814815E-2</v>
      </c>
      <c r="C121" s="3">
        <v>3.6666666666666666E-3</v>
      </c>
      <c r="D121" s="1" t="s">
        <v>21</v>
      </c>
      <c r="E121" s="1" t="s">
        <v>14</v>
      </c>
      <c r="F121" s="1" t="s">
        <v>267</v>
      </c>
      <c r="G121" s="1" t="s">
        <v>16</v>
      </c>
      <c r="H121" s="1" t="str">
        <f>TEXT(Table1[[#This Row],[submission_date]], "dddd")</f>
        <v>Saturday</v>
      </c>
      <c r="I121" s="1" t="str">
        <f>TEXT(Table1[[#This Row],[submission_date]], "mmm-yyyy")</f>
        <v>Jan-1900</v>
      </c>
      <c r="J121" s="1">
        <f>HOUR(Table1[[#This Row],[submission_date]])</f>
        <v>0</v>
      </c>
      <c r="K121" s="5">
        <f>Table1[[#This Row],[resolution_date]] - Table1[[#This Row],[submission_date]]</f>
        <v>-7.1481481481481483E-3</v>
      </c>
      <c r="L121" s="5">
        <f>Table1[[#This Row],[res_time]]*24</f>
        <v>-0.17155555555555557</v>
      </c>
      <c r="M121" s="5">
        <f>AVERAGE(Table1[[#This Row],[resolution_date]])</f>
        <v>3.6666666666666666E-3</v>
      </c>
    </row>
    <row r="122" spans="1:13" x14ac:dyDescent="0.3">
      <c r="A122" s="1" t="s">
        <v>268</v>
      </c>
      <c r="B122" s="3">
        <v>1.6377314814814815E-3</v>
      </c>
      <c r="C122" s="3">
        <v>1.7631944444444447E-2</v>
      </c>
      <c r="D122" s="1" t="s">
        <v>8</v>
      </c>
      <c r="E122" s="1" t="s">
        <v>25</v>
      </c>
      <c r="F122" s="1" t="s">
        <v>269</v>
      </c>
      <c r="G122" s="1" t="s">
        <v>16</v>
      </c>
      <c r="H122" s="1" t="str">
        <f>TEXT(Table1[[#This Row],[submission_date]], "dddd")</f>
        <v>Saturday</v>
      </c>
      <c r="I122" s="1" t="str">
        <f>TEXT(Table1[[#This Row],[submission_date]], "mmm-yyyy")</f>
        <v>Jan-1900</v>
      </c>
      <c r="J122" s="1">
        <f>HOUR(Table1[[#This Row],[submission_date]])</f>
        <v>0</v>
      </c>
      <c r="K122" s="5">
        <f>Table1[[#This Row],[resolution_date]] - Table1[[#This Row],[submission_date]]</f>
        <v>1.5994212962962964E-2</v>
      </c>
      <c r="L122" s="5">
        <f>Table1[[#This Row],[res_time]]*24</f>
        <v>0.3838611111111111</v>
      </c>
      <c r="M122" s="5">
        <f>AVERAGE(Table1[[#This Row],[resolution_date]])</f>
        <v>1.7631944444444447E-2</v>
      </c>
    </row>
    <row r="123" spans="1:13" x14ac:dyDescent="0.3">
      <c r="A123" s="1" t="s">
        <v>270</v>
      </c>
      <c r="B123" s="3">
        <v>5.9004629629629633E-3</v>
      </c>
      <c r="C123" s="3">
        <v>2.2027777777777778E-2</v>
      </c>
      <c r="D123" s="1" t="s">
        <v>31</v>
      </c>
      <c r="E123" s="1" t="s">
        <v>42</v>
      </c>
      <c r="F123" s="1" t="s">
        <v>271</v>
      </c>
      <c r="G123" s="1" t="s">
        <v>16</v>
      </c>
      <c r="H123" s="1" t="str">
        <f>TEXT(Table1[[#This Row],[submission_date]], "dddd")</f>
        <v>Saturday</v>
      </c>
      <c r="I123" s="1" t="str">
        <f>TEXT(Table1[[#This Row],[submission_date]], "mmm-yyyy")</f>
        <v>Jan-1900</v>
      </c>
      <c r="J123" s="1">
        <f>HOUR(Table1[[#This Row],[submission_date]])</f>
        <v>0</v>
      </c>
      <c r="K123" s="5">
        <f>Table1[[#This Row],[resolution_date]] - Table1[[#This Row],[submission_date]]</f>
        <v>1.6127314814814817E-2</v>
      </c>
      <c r="L123" s="5">
        <f>Table1[[#This Row],[res_time]]*24</f>
        <v>0.3870555555555556</v>
      </c>
      <c r="M123" s="5">
        <f>AVERAGE(Table1[[#This Row],[resolution_date]])</f>
        <v>2.2027777777777778E-2</v>
      </c>
    </row>
    <row r="124" spans="1:13" x14ac:dyDescent="0.3">
      <c r="A124" s="1" t="s">
        <v>272</v>
      </c>
      <c r="B124" s="3">
        <v>3.4915509259259257E-2</v>
      </c>
      <c r="C124" s="3">
        <v>1.7216435185185185E-2</v>
      </c>
      <c r="D124" s="1" t="s">
        <v>13</v>
      </c>
      <c r="E124" s="1" t="s">
        <v>9</v>
      </c>
      <c r="F124" s="1" t="s">
        <v>273</v>
      </c>
      <c r="G124" s="1" t="s">
        <v>16</v>
      </c>
      <c r="H124" s="1" t="str">
        <f>TEXT(Table1[[#This Row],[submission_date]], "dddd")</f>
        <v>Saturday</v>
      </c>
      <c r="I124" s="1" t="str">
        <f>TEXT(Table1[[#This Row],[submission_date]], "mmm-yyyy")</f>
        <v>Jan-1900</v>
      </c>
      <c r="J124" s="1">
        <f>HOUR(Table1[[#This Row],[submission_date]])</f>
        <v>0</v>
      </c>
      <c r="K124" s="5">
        <f>Table1[[#This Row],[resolution_date]] - Table1[[#This Row],[submission_date]]</f>
        <v>-1.7699074074074072E-2</v>
      </c>
      <c r="L124" s="5">
        <f>Table1[[#This Row],[res_time]]*24</f>
        <v>-0.4247777777777777</v>
      </c>
      <c r="M124" s="5">
        <f>AVERAGE(Table1[[#This Row],[resolution_date]])</f>
        <v>1.7216435185185185E-2</v>
      </c>
    </row>
    <row r="125" spans="1:13" x14ac:dyDescent="0.3">
      <c r="A125" s="1" t="s">
        <v>274</v>
      </c>
      <c r="B125" s="3">
        <v>7.9976851851851858E-3</v>
      </c>
      <c r="C125" s="3">
        <v>4.5451388888888885E-3</v>
      </c>
      <c r="D125" s="1" t="s">
        <v>45</v>
      </c>
      <c r="E125" s="1" t="s">
        <v>14</v>
      </c>
      <c r="F125" s="1" t="s">
        <v>275</v>
      </c>
      <c r="G125" s="1" t="s">
        <v>16</v>
      </c>
      <c r="H125" s="1" t="str">
        <f>TEXT(Table1[[#This Row],[submission_date]], "dddd")</f>
        <v>Saturday</v>
      </c>
      <c r="I125" s="1" t="str">
        <f>TEXT(Table1[[#This Row],[submission_date]], "mmm-yyyy")</f>
        <v>Jan-1900</v>
      </c>
      <c r="J125" s="1">
        <f>HOUR(Table1[[#This Row],[submission_date]])</f>
        <v>0</v>
      </c>
      <c r="K125" s="5">
        <f>Table1[[#This Row],[resolution_date]] - Table1[[#This Row],[submission_date]]</f>
        <v>-3.4525462962962973E-3</v>
      </c>
      <c r="L125" s="5">
        <f>Table1[[#This Row],[res_time]]*24</f>
        <v>-8.2861111111111135E-2</v>
      </c>
      <c r="M125" s="5">
        <f>AVERAGE(Table1[[#This Row],[resolution_date]])</f>
        <v>4.5451388888888885E-3</v>
      </c>
    </row>
    <row r="126" spans="1:13" x14ac:dyDescent="0.3">
      <c r="A126" s="1" t="s">
        <v>276</v>
      </c>
      <c r="B126" s="3">
        <v>2.7638888888888891E-3</v>
      </c>
      <c r="C126" s="3">
        <v>3.2322916666666666E-2</v>
      </c>
      <c r="D126" s="1" t="s">
        <v>81</v>
      </c>
      <c r="E126" s="1" t="s">
        <v>55</v>
      </c>
      <c r="F126" s="1" t="s">
        <v>277</v>
      </c>
      <c r="G126" s="1" t="s">
        <v>16</v>
      </c>
      <c r="H126" s="1" t="str">
        <f>TEXT(Table1[[#This Row],[submission_date]], "dddd")</f>
        <v>Saturday</v>
      </c>
      <c r="I126" s="1" t="str">
        <f>TEXT(Table1[[#This Row],[submission_date]], "mmm-yyyy")</f>
        <v>Jan-1900</v>
      </c>
      <c r="J126" s="1">
        <f>HOUR(Table1[[#This Row],[submission_date]])</f>
        <v>0</v>
      </c>
      <c r="K126" s="5">
        <f>Table1[[#This Row],[resolution_date]] - Table1[[#This Row],[submission_date]]</f>
        <v>2.9559027777777778E-2</v>
      </c>
      <c r="L126" s="5">
        <f>Table1[[#This Row],[res_time]]*24</f>
        <v>0.7094166666666667</v>
      </c>
      <c r="M126" s="5">
        <f>AVERAGE(Table1[[#This Row],[resolution_date]])</f>
        <v>3.2322916666666666E-2</v>
      </c>
    </row>
    <row r="127" spans="1:13" x14ac:dyDescent="0.3">
      <c r="A127" s="1" t="s">
        <v>278</v>
      </c>
      <c r="B127" s="3">
        <v>1.9415509259259261E-2</v>
      </c>
      <c r="C127" s="3">
        <v>7.8958333333333346E-3</v>
      </c>
      <c r="D127" s="1" t="s">
        <v>81</v>
      </c>
      <c r="E127" s="1" t="s">
        <v>22</v>
      </c>
      <c r="F127" s="1" t="s">
        <v>279</v>
      </c>
      <c r="G127" s="1" t="s">
        <v>16</v>
      </c>
      <c r="H127" s="1" t="str">
        <f>TEXT(Table1[[#This Row],[submission_date]], "dddd")</f>
        <v>Saturday</v>
      </c>
      <c r="I127" s="1" t="str">
        <f>TEXT(Table1[[#This Row],[submission_date]], "mmm-yyyy")</f>
        <v>Jan-1900</v>
      </c>
      <c r="J127" s="1">
        <f>HOUR(Table1[[#This Row],[submission_date]])</f>
        <v>0</v>
      </c>
      <c r="K127" s="5">
        <f>Table1[[#This Row],[resolution_date]] - Table1[[#This Row],[submission_date]]</f>
        <v>-1.1519675925925926E-2</v>
      </c>
      <c r="L127" s="5">
        <f>Table1[[#This Row],[res_time]]*24</f>
        <v>-0.27647222222222223</v>
      </c>
      <c r="M127" s="5">
        <f>AVERAGE(Table1[[#This Row],[resolution_date]])</f>
        <v>7.8958333333333346E-3</v>
      </c>
    </row>
    <row r="128" spans="1:13" x14ac:dyDescent="0.3">
      <c r="A128" s="1" t="s">
        <v>280</v>
      </c>
      <c r="B128" s="3">
        <v>1.5771990740740743E-2</v>
      </c>
      <c r="C128" s="3">
        <v>3.2662037037037035E-3</v>
      </c>
      <c r="D128" s="1" t="s">
        <v>21</v>
      </c>
      <c r="E128" s="1" t="s">
        <v>32</v>
      </c>
      <c r="F128" s="1" t="s">
        <v>281</v>
      </c>
      <c r="G128" s="1" t="s">
        <v>29</v>
      </c>
      <c r="H128" s="1" t="str">
        <f>TEXT(Table1[[#This Row],[submission_date]], "dddd")</f>
        <v>Saturday</v>
      </c>
      <c r="I128" s="1" t="str">
        <f>TEXT(Table1[[#This Row],[submission_date]], "mmm-yyyy")</f>
        <v>Jan-1900</v>
      </c>
      <c r="J128" s="1">
        <f>HOUR(Table1[[#This Row],[submission_date]])</f>
        <v>0</v>
      </c>
      <c r="K128" s="5">
        <f>Table1[[#This Row],[resolution_date]] - Table1[[#This Row],[submission_date]]</f>
        <v>-1.2505787037037039E-2</v>
      </c>
      <c r="L128" s="5">
        <f>Table1[[#This Row],[res_time]]*24</f>
        <v>-0.30013888888888896</v>
      </c>
      <c r="M128" s="5">
        <f>AVERAGE(Table1[[#This Row],[resolution_date]])</f>
        <v>3.2662037037037035E-3</v>
      </c>
    </row>
    <row r="129" spans="1:13" x14ac:dyDescent="0.3">
      <c r="A129" s="1" t="s">
        <v>282</v>
      </c>
      <c r="B129" s="3">
        <v>1.61875E-2</v>
      </c>
      <c r="C129" s="3">
        <v>1.633796296296296E-2</v>
      </c>
      <c r="D129" s="1" t="s">
        <v>13</v>
      </c>
      <c r="E129" s="1" t="s">
        <v>55</v>
      </c>
      <c r="F129" s="1" t="s">
        <v>283</v>
      </c>
      <c r="G129" s="1" t="s">
        <v>29</v>
      </c>
      <c r="H129" s="1" t="str">
        <f>TEXT(Table1[[#This Row],[submission_date]], "dddd")</f>
        <v>Saturday</v>
      </c>
      <c r="I129" s="1" t="str">
        <f>TEXT(Table1[[#This Row],[submission_date]], "mmm-yyyy")</f>
        <v>Jan-1900</v>
      </c>
      <c r="J129" s="1">
        <f>HOUR(Table1[[#This Row],[submission_date]])</f>
        <v>0</v>
      </c>
      <c r="K129" s="5">
        <f>Table1[[#This Row],[resolution_date]] - Table1[[#This Row],[submission_date]]</f>
        <v>1.5046296296295988E-4</v>
      </c>
      <c r="L129" s="5">
        <f>Table1[[#This Row],[res_time]]*24</f>
        <v>3.6111111111110372E-3</v>
      </c>
      <c r="M129" s="5">
        <f>AVERAGE(Table1[[#This Row],[resolution_date]])</f>
        <v>1.633796296296296E-2</v>
      </c>
    </row>
    <row r="130" spans="1:13" x14ac:dyDescent="0.3">
      <c r="A130" s="1" t="s">
        <v>284</v>
      </c>
      <c r="B130" s="3">
        <v>1.4826388888888888E-3</v>
      </c>
      <c r="C130" s="3">
        <v>1.292361111111111E-2</v>
      </c>
      <c r="D130" s="1" t="s">
        <v>45</v>
      </c>
      <c r="E130" s="1" t="s">
        <v>18</v>
      </c>
      <c r="F130" s="1" t="s">
        <v>285</v>
      </c>
      <c r="G130" s="1" t="s">
        <v>11</v>
      </c>
      <c r="H130" s="1" t="str">
        <f>TEXT(Table1[[#This Row],[submission_date]], "dddd")</f>
        <v>Saturday</v>
      </c>
      <c r="I130" s="1" t="str">
        <f>TEXT(Table1[[#This Row],[submission_date]], "mmm-yyyy")</f>
        <v>Jan-1900</v>
      </c>
      <c r="J130" s="1">
        <f>HOUR(Table1[[#This Row],[submission_date]])</f>
        <v>0</v>
      </c>
      <c r="K130" s="5">
        <f>Table1[[#This Row],[resolution_date]] - Table1[[#This Row],[submission_date]]</f>
        <v>1.144097222222222E-2</v>
      </c>
      <c r="L130" s="5">
        <f>Table1[[#This Row],[res_time]]*24</f>
        <v>0.27458333333333329</v>
      </c>
      <c r="M130" s="5">
        <f>AVERAGE(Table1[[#This Row],[resolution_date]])</f>
        <v>1.292361111111111E-2</v>
      </c>
    </row>
    <row r="131" spans="1:13" x14ac:dyDescent="0.3">
      <c r="A131" s="1" t="s">
        <v>286</v>
      </c>
      <c r="B131" s="3">
        <v>2.1055555555555557E-2</v>
      </c>
      <c r="C131" s="3">
        <v>6.3055555555555547E-3</v>
      </c>
      <c r="D131" s="1" t="s">
        <v>8</v>
      </c>
      <c r="E131" s="1" t="s">
        <v>14</v>
      </c>
      <c r="F131" s="1" t="s">
        <v>287</v>
      </c>
      <c r="G131" s="1" t="s">
        <v>16</v>
      </c>
      <c r="H131" s="1" t="str">
        <f>TEXT(Table1[[#This Row],[submission_date]], "dddd")</f>
        <v>Saturday</v>
      </c>
      <c r="I131" s="1" t="str">
        <f>TEXT(Table1[[#This Row],[submission_date]], "mmm-yyyy")</f>
        <v>Jan-1900</v>
      </c>
      <c r="J131" s="1">
        <f>HOUR(Table1[[#This Row],[submission_date]])</f>
        <v>0</v>
      </c>
      <c r="K131" s="5">
        <f>Table1[[#This Row],[resolution_date]] - Table1[[#This Row],[submission_date]]</f>
        <v>-1.4750000000000003E-2</v>
      </c>
      <c r="L131" s="5">
        <f>Table1[[#This Row],[res_time]]*24</f>
        <v>-0.35400000000000009</v>
      </c>
      <c r="M131" s="5">
        <f>AVERAGE(Table1[[#This Row],[resolution_date]])</f>
        <v>6.3055555555555547E-3</v>
      </c>
    </row>
    <row r="132" spans="1:13" x14ac:dyDescent="0.3">
      <c r="A132" s="1" t="s">
        <v>288</v>
      </c>
      <c r="B132" s="3">
        <v>3.7687499999999999E-2</v>
      </c>
      <c r="C132" s="3">
        <v>2.5810185185185186E-2</v>
      </c>
      <c r="D132" s="1" t="s">
        <v>81</v>
      </c>
      <c r="E132" s="1" t="s">
        <v>35</v>
      </c>
      <c r="F132" s="1" t="s">
        <v>289</v>
      </c>
      <c r="G132" s="1" t="s">
        <v>29</v>
      </c>
      <c r="H132" s="1" t="str">
        <f>TEXT(Table1[[#This Row],[submission_date]], "dddd")</f>
        <v>Saturday</v>
      </c>
      <c r="I132" s="1" t="str">
        <f>TEXT(Table1[[#This Row],[submission_date]], "mmm-yyyy")</f>
        <v>Jan-1900</v>
      </c>
      <c r="J132" s="1">
        <f>HOUR(Table1[[#This Row],[submission_date]])</f>
        <v>0</v>
      </c>
      <c r="K132" s="5">
        <f>Table1[[#This Row],[resolution_date]] - Table1[[#This Row],[submission_date]]</f>
        <v>-1.1877314814814813E-2</v>
      </c>
      <c r="L132" s="5">
        <f>Table1[[#This Row],[res_time]]*24</f>
        <v>-0.28505555555555551</v>
      </c>
      <c r="M132" s="5">
        <f>AVERAGE(Table1[[#This Row],[resolution_date]])</f>
        <v>2.5810185185185186E-2</v>
      </c>
    </row>
    <row r="133" spans="1:13" x14ac:dyDescent="0.3">
      <c r="A133" s="1" t="s">
        <v>290</v>
      </c>
      <c r="B133" s="3">
        <v>2.0755787037037038E-2</v>
      </c>
      <c r="C133" s="3">
        <v>1.4230324074074074E-2</v>
      </c>
      <c r="D133" s="1" t="s">
        <v>81</v>
      </c>
      <c r="E133" s="1" t="s">
        <v>18</v>
      </c>
      <c r="F133" s="1" t="s">
        <v>291</v>
      </c>
      <c r="G133" s="1" t="s">
        <v>29</v>
      </c>
      <c r="H133" s="1" t="str">
        <f>TEXT(Table1[[#This Row],[submission_date]], "dddd")</f>
        <v>Saturday</v>
      </c>
      <c r="I133" s="1" t="str">
        <f>TEXT(Table1[[#This Row],[submission_date]], "mmm-yyyy")</f>
        <v>Jan-1900</v>
      </c>
      <c r="J133" s="1">
        <f>HOUR(Table1[[#This Row],[submission_date]])</f>
        <v>0</v>
      </c>
      <c r="K133" s="5">
        <f>Table1[[#This Row],[resolution_date]] - Table1[[#This Row],[submission_date]]</f>
        <v>-6.5254629629629638E-3</v>
      </c>
      <c r="L133" s="5">
        <f>Table1[[#This Row],[res_time]]*24</f>
        <v>-0.15661111111111115</v>
      </c>
      <c r="M133" s="5">
        <f>AVERAGE(Table1[[#This Row],[resolution_date]])</f>
        <v>1.4230324074074074E-2</v>
      </c>
    </row>
    <row r="134" spans="1:13" x14ac:dyDescent="0.3">
      <c r="A134" s="1" t="s">
        <v>292</v>
      </c>
      <c r="B134" s="3">
        <v>2.6587962962962963E-2</v>
      </c>
      <c r="C134" s="3">
        <v>4.0381944444444441E-3</v>
      </c>
      <c r="D134" s="1" t="s">
        <v>8</v>
      </c>
      <c r="E134" s="1" t="s">
        <v>42</v>
      </c>
      <c r="F134" s="1" t="s">
        <v>293</v>
      </c>
      <c r="G134" s="1" t="s">
        <v>29</v>
      </c>
      <c r="H134" s="1" t="str">
        <f>TEXT(Table1[[#This Row],[submission_date]], "dddd")</f>
        <v>Saturday</v>
      </c>
      <c r="I134" s="1" t="str">
        <f>TEXT(Table1[[#This Row],[submission_date]], "mmm-yyyy")</f>
        <v>Jan-1900</v>
      </c>
      <c r="J134" s="1">
        <f>HOUR(Table1[[#This Row],[submission_date]])</f>
        <v>0</v>
      </c>
      <c r="K134" s="5">
        <f>Table1[[#This Row],[resolution_date]] - Table1[[#This Row],[submission_date]]</f>
        <v>-2.2549768518518518E-2</v>
      </c>
      <c r="L134" s="5">
        <f>Table1[[#This Row],[res_time]]*24</f>
        <v>-0.54119444444444442</v>
      </c>
      <c r="M134" s="5">
        <f>AVERAGE(Table1[[#This Row],[resolution_date]])</f>
        <v>4.0381944444444441E-3</v>
      </c>
    </row>
    <row r="135" spans="1:13" x14ac:dyDescent="0.3">
      <c r="A135" s="1" t="s">
        <v>294</v>
      </c>
      <c r="B135" s="3">
        <v>5.0208333333333337E-3</v>
      </c>
      <c r="C135" s="3">
        <v>3.6261574074074074E-3</v>
      </c>
      <c r="D135" s="1" t="s">
        <v>31</v>
      </c>
      <c r="E135" s="1" t="s">
        <v>22</v>
      </c>
      <c r="F135" s="1" t="s">
        <v>295</v>
      </c>
      <c r="G135" s="1" t="s">
        <v>11</v>
      </c>
      <c r="H135" s="1" t="str">
        <f>TEXT(Table1[[#This Row],[submission_date]], "dddd")</f>
        <v>Saturday</v>
      </c>
      <c r="I135" s="1" t="str">
        <f>TEXT(Table1[[#This Row],[submission_date]], "mmm-yyyy")</f>
        <v>Jan-1900</v>
      </c>
      <c r="J135" s="1">
        <f>HOUR(Table1[[#This Row],[submission_date]])</f>
        <v>0</v>
      </c>
      <c r="K135" s="5">
        <f>Table1[[#This Row],[resolution_date]] - Table1[[#This Row],[submission_date]]</f>
        <v>-1.3946759259259264E-3</v>
      </c>
      <c r="L135" s="5">
        <f>Table1[[#This Row],[res_time]]*24</f>
        <v>-3.3472222222222237E-2</v>
      </c>
      <c r="M135" s="5">
        <f>AVERAGE(Table1[[#This Row],[resolution_date]])</f>
        <v>3.6261574074074074E-3</v>
      </c>
    </row>
    <row r="136" spans="1:13" x14ac:dyDescent="0.3">
      <c r="A136" s="1" t="s">
        <v>296</v>
      </c>
      <c r="B136" s="3">
        <v>1.9664351851851852E-3</v>
      </c>
      <c r="C136" s="3">
        <v>2.6826388888888893E-2</v>
      </c>
      <c r="D136" s="1" t="s">
        <v>8</v>
      </c>
      <c r="E136" s="1" t="s">
        <v>32</v>
      </c>
      <c r="F136" s="1" t="s">
        <v>297</v>
      </c>
      <c r="G136" s="1" t="s">
        <v>29</v>
      </c>
      <c r="H136" s="1" t="str">
        <f>TEXT(Table1[[#This Row],[submission_date]], "dddd")</f>
        <v>Saturday</v>
      </c>
      <c r="I136" s="1" t="str">
        <f>TEXT(Table1[[#This Row],[submission_date]], "mmm-yyyy")</f>
        <v>Jan-1900</v>
      </c>
      <c r="J136" s="1">
        <f>HOUR(Table1[[#This Row],[submission_date]])</f>
        <v>0</v>
      </c>
      <c r="K136" s="5">
        <f>Table1[[#This Row],[resolution_date]] - Table1[[#This Row],[submission_date]]</f>
        <v>2.4859953703703707E-2</v>
      </c>
      <c r="L136" s="5">
        <f>Table1[[#This Row],[res_time]]*24</f>
        <v>0.59663888888888894</v>
      </c>
      <c r="M136" s="5">
        <f>AVERAGE(Table1[[#This Row],[resolution_date]])</f>
        <v>2.6826388888888893E-2</v>
      </c>
    </row>
    <row r="137" spans="1:13" x14ac:dyDescent="0.3">
      <c r="A137" s="1" t="s">
        <v>298</v>
      </c>
      <c r="B137" s="3">
        <v>3.9740740740740743E-2</v>
      </c>
      <c r="C137" s="3">
        <v>3.2086805555555556E-2</v>
      </c>
      <c r="D137" s="1" t="s">
        <v>60</v>
      </c>
      <c r="E137" s="1" t="s">
        <v>35</v>
      </c>
      <c r="F137" s="1" t="s">
        <v>299</v>
      </c>
      <c r="G137" s="1" t="s">
        <v>29</v>
      </c>
      <c r="H137" s="1" t="str">
        <f>TEXT(Table1[[#This Row],[submission_date]], "dddd")</f>
        <v>Saturday</v>
      </c>
      <c r="I137" s="1" t="str">
        <f>TEXT(Table1[[#This Row],[submission_date]], "mmm-yyyy")</f>
        <v>Jan-1900</v>
      </c>
      <c r="J137" s="1">
        <f>HOUR(Table1[[#This Row],[submission_date]])</f>
        <v>0</v>
      </c>
      <c r="K137" s="5">
        <f>Table1[[#This Row],[resolution_date]] - Table1[[#This Row],[submission_date]]</f>
        <v>-7.6539351851851872E-3</v>
      </c>
      <c r="L137" s="5">
        <f>Table1[[#This Row],[res_time]]*24</f>
        <v>-0.18369444444444449</v>
      </c>
      <c r="M137" s="5">
        <f>AVERAGE(Table1[[#This Row],[resolution_date]])</f>
        <v>3.2086805555555556E-2</v>
      </c>
    </row>
    <row r="138" spans="1:13" x14ac:dyDescent="0.3">
      <c r="A138" s="1" t="s">
        <v>300</v>
      </c>
      <c r="B138" s="3">
        <v>3.4874999999999996E-2</v>
      </c>
      <c r="C138" s="3">
        <v>3.2855324074074072E-2</v>
      </c>
      <c r="D138" s="1" t="s">
        <v>21</v>
      </c>
      <c r="E138" s="1" t="s">
        <v>35</v>
      </c>
      <c r="F138" s="1" t="s">
        <v>301</v>
      </c>
      <c r="G138" s="1" t="s">
        <v>29</v>
      </c>
      <c r="H138" s="1" t="str">
        <f>TEXT(Table1[[#This Row],[submission_date]], "dddd")</f>
        <v>Saturday</v>
      </c>
      <c r="I138" s="1" t="str">
        <f>TEXT(Table1[[#This Row],[submission_date]], "mmm-yyyy")</f>
        <v>Jan-1900</v>
      </c>
      <c r="J138" s="1">
        <f>HOUR(Table1[[#This Row],[submission_date]])</f>
        <v>0</v>
      </c>
      <c r="K138" s="5">
        <f>Table1[[#This Row],[resolution_date]] - Table1[[#This Row],[submission_date]]</f>
        <v>-2.0196759259259248E-3</v>
      </c>
      <c r="L138" s="5">
        <f>Table1[[#This Row],[res_time]]*24</f>
        <v>-4.8472222222222194E-2</v>
      </c>
      <c r="M138" s="5">
        <f>AVERAGE(Table1[[#This Row],[resolution_date]])</f>
        <v>3.2855324074074072E-2</v>
      </c>
    </row>
    <row r="139" spans="1:13" x14ac:dyDescent="0.3">
      <c r="A139" s="1" t="s">
        <v>302</v>
      </c>
      <c r="B139" s="3">
        <v>1.0131944444444443E-2</v>
      </c>
      <c r="C139" s="3">
        <v>1.1700231481481482E-2</v>
      </c>
      <c r="D139" s="1" t="s">
        <v>21</v>
      </c>
      <c r="E139" s="1" t="s">
        <v>14</v>
      </c>
      <c r="F139" s="1" t="s">
        <v>303</v>
      </c>
      <c r="G139" s="1" t="s">
        <v>29</v>
      </c>
      <c r="H139" s="1" t="str">
        <f>TEXT(Table1[[#This Row],[submission_date]], "dddd")</f>
        <v>Saturday</v>
      </c>
      <c r="I139" s="1" t="str">
        <f>TEXT(Table1[[#This Row],[submission_date]], "mmm-yyyy")</f>
        <v>Jan-1900</v>
      </c>
      <c r="J139" s="1">
        <f>HOUR(Table1[[#This Row],[submission_date]])</f>
        <v>0</v>
      </c>
      <c r="K139" s="5">
        <f>Table1[[#This Row],[resolution_date]] - Table1[[#This Row],[submission_date]]</f>
        <v>1.5682870370370382E-3</v>
      </c>
      <c r="L139" s="5">
        <f>Table1[[#This Row],[res_time]]*24</f>
        <v>3.7638888888888916E-2</v>
      </c>
      <c r="M139" s="5">
        <f>AVERAGE(Table1[[#This Row],[resolution_date]])</f>
        <v>1.1700231481481482E-2</v>
      </c>
    </row>
    <row r="140" spans="1:13" x14ac:dyDescent="0.3">
      <c r="A140" s="1" t="s">
        <v>304</v>
      </c>
      <c r="B140" s="3">
        <v>1.5805555555555555E-2</v>
      </c>
      <c r="C140" s="3">
        <v>2.8592592592592593E-2</v>
      </c>
      <c r="D140" s="1" t="s">
        <v>13</v>
      </c>
      <c r="E140" s="1" t="s">
        <v>9</v>
      </c>
      <c r="F140" s="1" t="s">
        <v>305</v>
      </c>
      <c r="G140" s="1" t="s">
        <v>16</v>
      </c>
      <c r="H140" s="1" t="str">
        <f>TEXT(Table1[[#This Row],[submission_date]], "dddd")</f>
        <v>Saturday</v>
      </c>
      <c r="I140" s="1" t="str">
        <f>TEXT(Table1[[#This Row],[submission_date]], "mmm-yyyy")</f>
        <v>Jan-1900</v>
      </c>
      <c r="J140" s="1">
        <f>HOUR(Table1[[#This Row],[submission_date]])</f>
        <v>0</v>
      </c>
      <c r="K140" s="5">
        <f>Table1[[#This Row],[resolution_date]] - Table1[[#This Row],[submission_date]]</f>
        <v>1.2787037037037038E-2</v>
      </c>
      <c r="L140" s="5">
        <f>Table1[[#This Row],[res_time]]*24</f>
        <v>0.30688888888888888</v>
      </c>
      <c r="M140" s="5">
        <f>AVERAGE(Table1[[#This Row],[resolution_date]])</f>
        <v>2.8592592592592593E-2</v>
      </c>
    </row>
    <row r="141" spans="1:13" x14ac:dyDescent="0.3">
      <c r="A141" s="1" t="s">
        <v>306</v>
      </c>
      <c r="B141" s="3">
        <v>2.700578703703704E-2</v>
      </c>
      <c r="C141" s="3">
        <v>1.716087962962963E-2</v>
      </c>
      <c r="D141" s="1" t="s">
        <v>45</v>
      </c>
      <c r="E141" s="1" t="s">
        <v>35</v>
      </c>
      <c r="F141" s="1" t="s">
        <v>307</v>
      </c>
      <c r="G141" s="1" t="s">
        <v>29</v>
      </c>
      <c r="H141" s="1" t="str">
        <f>TEXT(Table1[[#This Row],[submission_date]], "dddd")</f>
        <v>Saturday</v>
      </c>
      <c r="I141" s="1" t="str">
        <f>TEXT(Table1[[#This Row],[submission_date]], "mmm-yyyy")</f>
        <v>Jan-1900</v>
      </c>
      <c r="J141" s="1">
        <f>HOUR(Table1[[#This Row],[submission_date]])</f>
        <v>0</v>
      </c>
      <c r="K141" s="5">
        <f>Table1[[#This Row],[resolution_date]] - Table1[[#This Row],[submission_date]]</f>
        <v>-9.8449074074074099E-3</v>
      </c>
      <c r="L141" s="5">
        <f>Table1[[#This Row],[res_time]]*24</f>
        <v>-0.23627777777777784</v>
      </c>
      <c r="M141" s="5">
        <f>AVERAGE(Table1[[#This Row],[resolution_date]])</f>
        <v>1.716087962962963E-2</v>
      </c>
    </row>
    <row r="142" spans="1:13" x14ac:dyDescent="0.3">
      <c r="A142" s="1" t="s">
        <v>308</v>
      </c>
      <c r="B142" s="3">
        <v>4.0298611111111111E-2</v>
      </c>
      <c r="C142" s="3">
        <v>3.5194444444444445E-2</v>
      </c>
      <c r="D142" s="1" t="s">
        <v>21</v>
      </c>
      <c r="E142" s="1" t="s">
        <v>46</v>
      </c>
      <c r="F142" s="1" t="s">
        <v>309</v>
      </c>
      <c r="G142" s="1" t="s">
        <v>16</v>
      </c>
      <c r="H142" s="1" t="str">
        <f>TEXT(Table1[[#This Row],[submission_date]], "dddd")</f>
        <v>Saturday</v>
      </c>
      <c r="I142" s="1" t="str">
        <f>TEXT(Table1[[#This Row],[submission_date]], "mmm-yyyy")</f>
        <v>Jan-1900</v>
      </c>
      <c r="J142" s="1">
        <f>HOUR(Table1[[#This Row],[submission_date]])</f>
        <v>0</v>
      </c>
      <c r="K142" s="5">
        <f>Table1[[#This Row],[resolution_date]] - Table1[[#This Row],[submission_date]]</f>
        <v>-5.1041666666666666E-3</v>
      </c>
      <c r="L142" s="5">
        <f>Table1[[#This Row],[res_time]]*24</f>
        <v>-0.1225</v>
      </c>
      <c r="M142" s="5">
        <f>AVERAGE(Table1[[#This Row],[resolution_date]])</f>
        <v>3.5194444444444445E-2</v>
      </c>
    </row>
    <row r="143" spans="1:13" x14ac:dyDescent="0.3">
      <c r="A143" s="1" t="s">
        <v>310</v>
      </c>
      <c r="B143" s="3">
        <v>1.5313657407407406E-2</v>
      </c>
      <c r="C143" s="3">
        <v>9.8344907407407409E-3</v>
      </c>
      <c r="D143" s="1" t="s">
        <v>21</v>
      </c>
      <c r="E143" s="1" t="s">
        <v>9</v>
      </c>
      <c r="F143" s="1" t="s">
        <v>311</v>
      </c>
      <c r="G143" s="1" t="s">
        <v>16</v>
      </c>
      <c r="H143" s="1" t="str">
        <f>TEXT(Table1[[#This Row],[submission_date]], "dddd")</f>
        <v>Saturday</v>
      </c>
      <c r="I143" s="1" t="str">
        <f>TEXT(Table1[[#This Row],[submission_date]], "mmm-yyyy")</f>
        <v>Jan-1900</v>
      </c>
      <c r="J143" s="1">
        <f>HOUR(Table1[[#This Row],[submission_date]])</f>
        <v>0</v>
      </c>
      <c r="K143" s="5">
        <f>Table1[[#This Row],[resolution_date]] - Table1[[#This Row],[submission_date]]</f>
        <v>-5.4791666666666652E-3</v>
      </c>
      <c r="L143" s="5">
        <f>Table1[[#This Row],[res_time]]*24</f>
        <v>-0.13149999999999995</v>
      </c>
      <c r="M143" s="5">
        <f>AVERAGE(Table1[[#This Row],[resolution_date]])</f>
        <v>9.8344907407407409E-3</v>
      </c>
    </row>
    <row r="144" spans="1:13" x14ac:dyDescent="0.3">
      <c r="A144" s="1" t="s">
        <v>312</v>
      </c>
      <c r="B144" s="3">
        <v>1.4344907407407409E-2</v>
      </c>
      <c r="C144" s="3">
        <v>2.4067129629629629E-2</v>
      </c>
      <c r="D144" s="1" t="s">
        <v>45</v>
      </c>
      <c r="E144" s="1" t="s">
        <v>25</v>
      </c>
      <c r="F144" s="1" t="s">
        <v>313</v>
      </c>
      <c r="G144" s="1" t="s">
        <v>16</v>
      </c>
      <c r="H144" s="1" t="str">
        <f>TEXT(Table1[[#This Row],[submission_date]], "dddd")</f>
        <v>Saturday</v>
      </c>
      <c r="I144" s="1" t="str">
        <f>TEXT(Table1[[#This Row],[submission_date]], "mmm-yyyy")</f>
        <v>Jan-1900</v>
      </c>
      <c r="J144" s="1">
        <f>HOUR(Table1[[#This Row],[submission_date]])</f>
        <v>0</v>
      </c>
      <c r="K144" s="5">
        <f>Table1[[#This Row],[resolution_date]] - Table1[[#This Row],[submission_date]]</f>
        <v>9.7222222222222206E-3</v>
      </c>
      <c r="L144" s="5">
        <f>Table1[[#This Row],[res_time]]*24</f>
        <v>0.23333333333333328</v>
      </c>
      <c r="M144" s="5">
        <f>AVERAGE(Table1[[#This Row],[resolution_date]])</f>
        <v>2.4067129629629629E-2</v>
      </c>
    </row>
    <row r="145" spans="1:13" x14ac:dyDescent="0.3">
      <c r="A145" s="1" t="s">
        <v>314</v>
      </c>
      <c r="B145" s="3">
        <v>3.4383101851851852E-2</v>
      </c>
      <c r="C145" s="3">
        <v>3.4458333333333334E-2</v>
      </c>
      <c r="D145" s="1" t="s">
        <v>21</v>
      </c>
      <c r="E145" s="1" t="s">
        <v>22</v>
      </c>
      <c r="F145" s="1" t="s">
        <v>315</v>
      </c>
      <c r="G145" s="1" t="s">
        <v>29</v>
      </c>
      <c r="H145" s="1" t="str">
        <f>TEXT(Table1[[#This Row],[submission_date]], "dddd")</f>
        <v>Saturday</v>
      </c>
      <c r="I145" s="1" t="str">
        <f>TEXT(Table1[[#This Row],[submission_date]], "mmm-yyyy")</f>
        <v>Jan-1900</v>
      </c>
      <c r="J145" s="1">
        <f>HOUR(Table1[[#This Row],[submission_date]])</f>
        <v>0</v>
      </c>
      <c r="K145" s="5">
        <f>Table1[[#This Row],[resolution_date]] - Table1[[#This Row],[submission_date]]</f>
        <v>7.5231481481481677E-5</v>
      </c>
      <c r="L145" s="5">
        <f>Table1[[#This Row],[res_time]]*24</f>
        <v>1.8055555555555602E-3</v>
      </c>
      <c r="M145" s="5">
        <f>AVERAGE(Table1[[#This Row],[resolution_date]])</f>
        <v>3.4458333333333334E-2</v>
      </c>
    </row>
    <row r="146" spans="1:13" x14ac:dyDescent="0.3">
      <c r="A146" s="1" t="s">
        <v>316</v>
      </c>
      <c r="B146" s="3">
        <v>3.0069444444444445E-3</v>
      </c>
      <c r="C146" s="3">
        <v>1.2567129629629629E-2</v>
      </c>
      <c r="D146" s="1" t="s">
        <v>13</v>
      </c>
      <c r="E146" s="1" t="s">
        <v>46</v>
      </c>
      <c r="F146" s="1" t="s">
        <v>317</v>
      </c>
      <c r="G146" s="1" t="s">
        <v>16</v>
      </c>
      <c r="H146" s="1" t="str">
        <f>TEXT(Table1[[#This Row],[submission_date]], "dddd")</f>
        <v>Saturday</v>
      </c>
      <c r="I146" s="1" t="str">
        <f>TEXT(Table1[[#This Row],[submission_date]], "mmm-yyyy")</f>
        <v>Jan-1900</v>
      </c>
      <c r="J146" s="1">
        <f>HOUR(Table1[[#This Row],[submission_date]])</f>
        <v>0</v>
      </c>
      <c r="K146" s="5">
        <f>Table1[[#This Row],[resolution_date]] - Table1[[#This Row],[submission_date]]</f>
        <v>9.5601851851851855E-3</v>
      </c>
      <c r="L146" s="5">
        <f>Table1[[#This Row],[res_time]]*24</f>
        <v>0.22944444444444445</v>
      </c>
      <c r="M146" s="5">
        <f>AVERAGE(Table1[[#This Row],[resolution_date]])</f>
        <v>1.2567129629629629E-2</v>
      </c>
    </row>
    <row r="147" spans="1:13" x14ac:dyDescent="0.3">
      <c r="A147" s="1" t="s">
        <v>318</v>
      </c>
      <c r="B147" s="3">
        <v>3.4474537037037033E-2</v>
      </c>
      <c r="C147" s="3">
        <v>3.487847222222222E-2</v>
      </c>
      <c r="D147" s="1" t="s">
        <v>81</v>
      </c>
      <c r="E147" s="1" t="s">
        <v>22</v>
      </c>
      <c r="F147" s="1" t="s">
        <v>319</v>
      </c>
      <c r="G147" s="1" t="s">
        <v>115</v>
      </c>
      <c r="H147" s="1" t="str">
        <f>TEXT(Table1[[#This Row],[submission_date]], "dddd")</f>
        <v>Saturday</v>
      </c>
      <c r="I147" s="1" t="str">
        <f>TEXT(Table1[[#This Row],[submission_date]], "mmm-yyyy")</f>
        <v>Jan-1900</v>
      </c>
      <c r="J147" s="1">
        <f>HOUR(Table1[[#This Row],[submission_date]])</f>
        <v>0</v>
      </c>
      <c r="K147" s="5">
        <f>Table1[[#This Row],[resolution_date]] - Table1[[#This Row],[submission_date]]</f>
        <v>4.0393518518518773E-4</v>
      </c>
      <c r="L147" s="5">
        <f>Table1[[#This Row],[res_time]]*24</f>
        <v>9.6944444444445055E-3</v>
      </c>
      <c r="M147" s="5">
        <f>AVERAGE(Table1[[#This Row],[resolution_date]])</f>
        <v>3.487847222222222E-2</v>
      </c>
    </row>
    <row r="148" spans="1:13" x14ac:dyDescent="0.3">
      <c r="A148" s="1" t="s">
        <v>320</v>
      </c>
      <c r="B148" s="3">
        <v>2.3321759259259259E-3</v>
      </c>
      <c r="C148" s="3">
        <v>3.7722222222222219E-2</v>
      </c>
      <c r="D148" s="1" t="s">
        <v>45</v>
      </c>
      <c r="E148" s="1" t="s">
        <v>35</v>
      </c>
      <c r="F148" s="1" t="s">
        <v>321</v>
      </c>
      <c r="G148" s="1" t="s">
        <v>11</v>
      </c>
      <c r="H148" s="1" t="str">
        <f>TEXT(Table1[[#This Row],[submission_date]], "dddd")</f>
        <v>Saturday</v>
      </c>
      <c r="I148" s="1" t="str">
        <f>TEXT(Table1[[#This Row],[submission_date]], "mmm-yyyy")</f>
        <v>Jan-1900</v>
      </c>
      <c r="J148" s="1">
        <f>HOUR(Table1[[#This Row],[submission_date]])</f>
        <v>0</v>
      </c>
      <c r="K148" s="5">
        <f>Table1[[#This Row],[resolution_date]] - Table1[[#This Row],[submission_date]]</f>
        <v>3.5390046296296294E-2</v>
      </c>
      <c r="L148" s="5">
        <f>Table1[[#This Row],[res_time]]*24</f>
        <v>0.84936111111111101</v>
      </c>
      <c r="M148" s="5">
        <f>AVERAGE(Table1[[#This Row],[resolution_date]])</f>
        <v>3.7722222222222219E-2</v>
      </c>
    </row>
    <row r="149" spans="1:13" x14ac:dyDescent="0.3">
      <c r="A149" s="1" t="s">
        <v>322</v>
      </c>
      <c r="B149" s="3">
        <v>3.9379629629629632E-2</v>
      </c>
      <c r="C149" s="3">
        <v>8.0092592592592596E-4</v>
      </c>
      <c r="D149" s="1" t="s">
        <v>60</v>
      </c>
      <c r="E149" s="1" t="s">
        <v>22</v>
      </c>
      <c r="F149" s="1" t="s">
        <v>323</v>
      </c>
      <c r="G149" s="1" t="s">
        <v>29</v>
      </c>
      <c r="H149" s="1" t="str">
        <f>TEXT(Table1[[#This Row],[submission_date]], "dddd")</f>
        <v>Saturday</v>
      </c>
      <c r="I149" s="1" t="str">
        <f>TEXT(Table1[[#This Row],[submission_date]], "mmm-yyyy")</f>
        <v>Jan-1900</v>
      </c>
      <c r="J149" s="1">
        <f>HOUR(Table1[[#This Row],[submission_date]])</f>
        <v>0</v>
      </c>
      <c r="K149" s="5">
        <f>Table1[[#This Row],[resolution_date]] - Table1[[#This Row],[submission_date]]</f>
        <v>-3.8578703703703705E-2</v>
      </c>
      <c r="L149" s="5">
        <f>Table1[[#This Row],[res_time]]*24</f>
        <v>-0.92588888888888898</v>
      </c>
      <c r="M149" s="5">
        <f>AVERAGE(Table1[[#This Row],[resolution_date]])</f>
        <v>8.0092592592592596E-4</v>
      </c>
    </row>
    <row r="150" spans="1:13" x14ac:dyDescent="0.3">
      <c r="A150" s="1" t="s">
        <v>324</v>
      </c>
      <c r="B150" s="3">
        <v>1.5440972222222221E-2</v>
      </c>
      <c r="C150" s="3">
        <v>3.4859953703703705E-2</v>
      </c>
      <c r="D150" s="1" t="s">
        <v>8</v>
      </c>
      <c r="E150" s="1" t="s">
        <v>42</v>
      </c>
      <c r="F150" s="1" t="s">
        <v>325</v>
      </c>
      <c r="G150" s="1" t="s">
        <v>16</v>
      </c>
      <c r="H150" s="1" t="str">
        <f>TEXT(Table1[[#This Row],[submission_date]], "dddd")</f>
        <v>Saturday</v>
      </c>
      <c r="I150" s="1" t="str">
        <f>TEXT(Table1[[#This Row],[submission_date]], "mmm-yyyy")</f>
        <v>Jan-1900</v>
      </c>
      <c r="J150" s="1">
        <f>HOUR(Table1[[#This Row],[submission_date]])</f>
        <v>0</v>
      </c>
      <c r="K150" s="5">
        <f>Table1[[#This Row],[resolution_date]] - Table1[[#This Row],[submission_date]]</f>
        <v>1.9418981481481485E-2</v>
      </c>
      <c r="L150" s="5">
        <f>Table1[[#This Row],[res_time]]*24</f>
        <v>0.46605555555555567</v>
      </c>
      <c r="M150" s="5">
        <f>AVERAGE(Table1[[#This Row],[resolution_date]])</f>
        <v>3.4859953703703705E-2</v>
      </c>
    </row>
    <row r="151" spans="1:13" x14ac:dyDescent="0.3">
      <c r="A151" s="1" t="s">
        <v>326</v>
      </c>
      <c r="B151" s="3">
        <v>8.7824074074074072E-3</v>
      </c>
      <c r="C151" s="3">
        <v>9.3217592592592588E-3</v>
      </c>
      <c r="D151" s="1" t="s">
        <v>21</v>
      </c>
      <c r="E151" s="1" t="s">
        <v>9</v>
      </c>
      <c r="F151" s="1" t="s">
        <v>327</v>
      </c>
      <c r="G151" s="1" t="s">
        <v>16</v>
      </c>
      <c r="H151" s="1" t="str">
        <f>TEXT(Table1[[#This Row],[submission_date]], "dddd")</f>
        <v>Saturday</v>
      </c>
      <c r="I151" s="1" t="str">
        <f>TEXT(Table1[[#This Row],[submission_date]], "mmm-yyyy")</f>
        <v>Jan-1900</v>
      </c>
      <c r="J151" s="1">
        <f>HOUR(Table1[[#This Row],[submission_date]])</f>
        <v>0</v>
      </c>
      <c r="K151" s="5">
        <f>Table1[[#This Row],[resolution_date]] - Table1[[#This Row],[submission_date]]</f>
        <v>5.3935185185185162E-4</v>
      </c>
      <c r="L151" s="5">
        <f>Table1[[#This Row],[res_time]]*24</f>
        <v>1.2944444444444439E-2</v>
      </c>
      <c r="M151" s="5">
        <f>AVERAGE(Table1[[#This Row],[resolution_date]])</f>
        <v>9.3217592592592588E-3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C383-11E1-4C36-869F-E9628FE863E4}">
  <dimension ref="A1:F10"/>
  <sheetViews>
    <sheetView workbookViewId="0">
      <selection activeCell="E5" sqref="E5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4.77734375" bestFit="1" customWidth="1"/>
    <col min="4" max="4" width="4.5546875" bestFit="1" customWidth="1"/>
    <col min="5" max="5" width="7.77734375" bestFit="1" customWidth="1"/>
    <col min="6" max="6" width="10.5546875" bestFit="1" customWidth="1"/>
  </cols>
  <sheetData>
    <row r="1" spans="1:6" x14ac:dyDescent="0.3">
      <c r="A1" s="6" t="s">
        <v>337</v>
      </c>
      <c r="B1" s="6" t="s">
        <v>336</v>
      </c>
    </row>
    <row r="2" spans="1:6" x14ac:dyDescent="0.3">
      <c r="A2" s="6" t="s">
        <v>334</v>
      </c>
      <c r="B2" t="s">
        <v>115</v>
      </c>
      <c r="C2" t="s">
        <v>11</v>
      </c>
      <c r="D2" t="s">
        <v>29</v>
      </c>
      <c r="E2" t="s">
        <v>16</v>
      </c>
      <c r="F2" t="s">
        <v>335</v>
      </c>
    </row>
    <row r="3" spans="1:6" x14ac:dyDescent="0.3">
      <c r="A3" s="7" t="s">
        <v>31</v>
      </c>
      <c r="B3" s="9"/>
      <c r="C3" s="9">
        <v>7.2818287037037022E-2</v>
      </c>
      <c r="D3" s="9">
        <v>0.13759953703703703</v>
      </c>
      <c r="E3" s="9">
        <v>0.10036574074074076</v>
      </c>
      <c r="F3" s="9">
        <v>0.31078356481481484</v>
      </c>
    </row>
    <row r="4" spans="1:6" x14ac:dyDescent="0.3">
      <c r="A4" s="7" t="s">
        <v>81</v>
      </c>
      <c r="B4" s="9">
        <v>3.487847222222222E-2</v>
      </c>
      <c r="C4" s="9">
        <v>2.5315972222222226E-2</v>
      </c>
      <c r="D4" s="9">
        <v>0.1202048611111111</v>
      </c>
      <c r="E4" s="9">
        <v>7.1369212962962961E-2</v>
      </c>
      <c r="F4" s="9">
        <v>0.2517685185185185</v>
      </c>
    </row>
    <row r="5" spans="1:6" x14ac:dyDescent="0.3">
      <c r="A5" s="7" t="s">
        <v>21</v>
      </c>
      <c r="B5" s="9">
        <v>7.9120370370370369E-3</v>
      </c>
      <c r="C5" s="9">
        <v>9.4881944444444449E-2</v>
      </c>
      <c r="D5" s="9">
        <v>0.16963541666666668</v>
      </c>
      <c r="E5" s="9">
        <v>0.14763657407407407</v>
      </c>
      <c r="F5" s="9">
        <v>0.42006597222222219</v>
      </c>
    </row>
    <row r="6" spans="1:6" x14ac:dyDescent="0.3">
      <c r="A6" s="7" t="s">
        <v>45</v>
      </c>
      <c r="B6" s="9"/>
      <c r="C6" s="9">
        <v>9.548726851851852E-2</v>
      </c>
      <c r="D6" s="9">
        <v>0.16967708333333331</v>
      </c>
      <c r="E6" s="9">
        <v>0.28801736111111115</v>
      </c>
      <c r="F6" s="9">
        <v>0.55318171296296303</v>
      </c>
    </row>
    <row r="7" spans="1:6" x14ac:dyDescent="0.3">
      <c r="A7" s="7" t="s">
        <v>8</v>
      </c>
      <c r="B7" s="9"/>
      <c r="C7" s="9">
        <v>8.9204861111111117E-2</v>
      </c>
      <c r="D7" s="9">
        <v>0.1031539351851852</v>
      </c>
      <c r="E7" s="9">
        <v>0.16476157407407407</v>
      </c>
      <c r="F7" s="9">
        <v>0.35712037037037037</v>
      </c>
    </row>
    <row r="8" spans="1:6" x14ac:dyDescent="0.3">
      <c r="A8" s="7" t="s">
        <v>60</v>
      </c>
      <c r="B8" s="9"/>
      <c r="C8" s="9">
        <v>2.7986111111111111E-2</v>
      </c>
      <c r="D8" s="9">
        <v>0.13494791666666664</v>
      </c>
      <c r="E8" s="9"/>
      <c r="F8" s="9">
        <v>0.16293402777777774</v>
      </c>
    </row>
    <row r="9" spans="1:6" x14ac:dyDescent="0.3">
      <c r="A9" s="7" t="s">
        <v>13</v>
      </c>
      <c r="B9" s="9">
        <v>1.9150462962962959E-2</v>
      </c>
      <c r="C9" s="9">
        <v>0.11295254629629629</v>
      </c>
      <c r="D9" s="9">
        <v>0.32404282407407403</v>
      </c>
      <c r="E9" s="9">
        <v>0.58545601851851847</v>
      </c>
      <c r="F9" s="9">
        <v>1.0416018518518517</v>
      </c>
    </row>
    <row r="10" spans="1:6" x14ac:dyDescent="0.3">
      <c r="A10" s="7" t="s">
        <v>335</v>
      </c>
      <c r="B10" s="9">
        <v>6.1940972222222217E-2</v>
      </c>
      <c r="C10" s="9">
        <v>0.51864699074074072</v>
      </c>
      <c r="D10" s="9">
        <v>1.1592615740740739</v>
      </c>
      <c r="E10" s="9">
        <v>1.3576064814814814</v>
      </c>
      <c r="F10" s="9">
        <v>3.0974560185185185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4131-294F-457A-B0B3-6DFC95B5A3C1}">
  <dimension ref="A3:F12"/>
  <sheetViews>
    <sheetView workbookViewId="0">
      <selection activeCell="E9" sqref="E9"/>
    </sheetView>
  </sheetViews>
  <sheetFormatPr defaultRowHeight="14.4" x14ac:dyDescent="0.3"/>
  <cols>
    <col min="1" max="2" width="15.5546875" bestFit="1" customWidth="1"/>
    <col min="3" max="3" width="4.77734375" bestFit="1" customWidth="1"/>
    <col min="4" max="4" width="4.21875" bestFit="1" customWidth="1"/>
    <col min="5" max="5" width="7.77734375" bestFit="1" customWidth="1"/>
    <col min="6" max="6" width="10.5546875" bestFit="1" customWidth="1"/>
    <col min="7" max="7" width="7.88671875" bestFit="1" customWidth="1"/>
    <col min="8" max="8" width="8.33203125" bestFit="1" customWidth="1"/>
    <col min="9" max="9" width="10.5546875" bestFit="1" customWidth="1"/>
    <col min="10" max="10" width="13.21875" bestFit="1" customWidth="1"/>
    <col min="11" max="11" width="11.77734375" bestFit="1" customWidth="1"/>
    <col min="12" max="12" width="11.33203125" bestFit="1" customWidth="1"/>
    <col min="13" max="13" width="11.21875" bestFit="1" customWidth="1"/>
    <col min="14" max="14" width="11.109375" bestFit="1" customWidth="1"/>
    <col min="15" max="15" width="9.77734375" bestFit="1" customWidth="1"/>
    <col min="16" max="16" width="10.6640625" bestFit="1" customWidth="1"/>
    <col min="17" max="17" width="11" bestFit="1" customWidth="1"/>
    <col min="18" max="18" width="13.21875" bestFit="1" customWidth="1"/>
    <col min="19" max="19" width="11.77734375" bestFit="1" customWidth="1"/>
    <col min="20" max="20" width="11.33203125" bestFit="1" customWidth="1"/>
    <col min="21" max="21" width="11.21875" bestFit="1" customWidth="1"/>
    <col min="22" max="22" width="11.109375" bestFit="1" customWidth="1"/>
    <col min="23" max="23" width="13.44140625" bestFit="1" customWidth="1"/>
    <col min="24" max="24" width="9.77734375" bestFit="1" customWidth="1"/>
    <col min="25" max="25" width="10.6640625" bestFit="1" customWidth="1"/>
    <col min="26" max="26" width="9.44140625" bestFit="1" customWidth="1"/>
    <col min="27" max="27" width="11" bestFit="1" customWidth="1"/>
    <col min="28" max="28" width="13.21875" bestFit="1" customWidth="1"/>
    <col min="29" max="29" width="11.33203125" bestFit="1" customWidth="1"/>
    <col min="30" max="30" width="11.21875" bestFit="1" customWidth="1"/>
    <col min="31" max="31" width="13.44140625" bestFit="1" customWidth="1"/>
    <col min="32" max="32" width="9.77734375" bestFit="1" customWidth="1"/>
    <col min="33" max="33" width="10.6640625" bestFit="1" customWidth="1"/>
    <col min="34" max="34" width="9.44140625" bestFit="1" customWidth="1"/>
    <col min="35" max="35" width="11" bestFit="1" customWidth="1"/>
    <col min="36" max="36" width="13.21875" bestFit="1" customWidth="1"/>
    <col min="37" max="37" width="11.77734375" bestFit="1" customWidth="1"/>
    <col min="38" max="38" width="11.33203125" bestFit="1" customWidth="1"/>
    <col min="39" max="39" width="11.21875" bestFit="1" customWidth="1"/>
    <col min="40" max="40" width="13.44140625" bestFit="1" customWidth="1"/>
    <col min="41" max="41" width="9.77734375" bestFit="1" customWidth="1"/>
    <col min="42" max="42" width="10.6640625" bestFit="1" customWidth="1"/>
    <col min="43" max="43" width="9.44140625" bestFit="1" customWidth="1"/>
    <col min="44" max="44" width="13.21875" bestFit="1" customWidth="1"/>
    <col min="45" max="45" width="11.77734375" bestFit="1" customWidth="1"/>
    <col min="46" max="46" width="11.33203125" bestFit="1" customWidth="1"/>
    <col min="47" max="47" width="10.6640625" bestFit="1" customWidth="1"/>
    <col min="48" max="48" width="9.44140625" bestFit="1" customWidth="1"/>
    <col min="49" max="49" width="11" bestFit="1" customWidth="1"/>
    <col min="50" max="50" width="13.21875" bestFit="1" customWidth="1"/>
    <col min="51" max="51" width="11.77734375" bestFit="1" customWidth="1"/>
    <col min="52" max="52" width="11.33203125" bestFit="1" customWidth="1"/>
    <col min="53" max="53" width="11.21875" bestFit="1" customWidth="1"/>
    <col min="54" max="54" width="11.109375" bestFit="1" customWidth="1"/>
    <col min="55" max="55" width="13.44140625" bestFit="1" customWidth="1"/>
    <col min="56" max="56" width="9.77734375" bestFit="1" customWidth="1"/>
    <col min="57" max="57" width="10.6640625" bestFit="1" customWidth="1"/>
    <col min="58" max="58" width="9.44140625" bestFit="1" customWidth="1"/>
    <col min="59" max="59" width="10.5546875" bestFit="1" customWidth="1"/>
  </cols>
  <sheetData>
    <row r="3" spans="1:6" x14ac:dyDescent="0.3">
      <c r="A3" s="6" t="s">
        <v>338</v>
      </c>
      <c r="B3" s="6" t="s">
        <v>336</v>
      </c>
    </row>
    <row r="4" spans="1:6" x14ac:dyDescent="0.3">
      <c r="A4" s="6" t="s">
        <v>334</v>
      </c>
      <c r="B4" t="s">
        <v>115</v>
      </c>
      <c r="C4" t="s">
        <v>11</v>
      </c>
      <c r="D4" t="s">
        <v>29</v>
      </c>
      <c r="E4" t="s">
        <v>16</v>
      </c>
      <c r="F4" t="s">
        <v>335</v>
      </c>
    </row>
    <row r="5" spans="1:6" x14ac:dyDescent="0.3">
      <c r="A5" s="7" t="s">
        <v>31</v>
      </c>
      <c r="B5" s="8"/>
      <c r="C5" s="8">
        <v>4</v>
      </c>
      <c r="D5" s="8">
        <v>6</v>
      </c>
      <c r="E5" s="8">
        <v>5</v>
      </c>
      <c r="F5" s="8">
        <v>15</v>
      </c>
    </row>
    <row r="6" spans="1:6" x14ac:dyDescent="0.3">
      <c r="A6" s="7" t="s">
        <v>81</v>
      </c>
      <c r="B6" s="8">
        <v>1</v>
      </c>
      <c r="C6" s="8">
        <v>1</v>
      </c>
      <c r="D6" s="8">
        <v>6</v>
      </c>
      <c r="E6" s="8">
        <v>4</v>
      </c>
      <c r="F6" s="8">
        <v>12</v>
      </c>
    </row>
    <row r="7" spans="1:6" x14ac:dyDescent="0.3">
      <c r="A7" s="7" t="s">
        <v>21</v>
      </c>
      <c r="B7" s="8">
        <v>1</v>
      </c>
      <c r="C7" s="8">
        <v>4</v>
      </c>
      <c r="D7" s="8">
        <v>10</v>
      </c>
      <c r="E7" s="8">
        <v>9</v>
      </c>
      <c r="F7" s="8">
        <v>24</v>
      </c>
    </row>
    <row r="8" spans="1:6" x14ac:dyDescent="0.3">
      <c r="A8" s="7" t="s">
        <v>45</v>
      </c>
      <c r="B8" s="8"/>
      <c r="C8" s="8">
        <v>5</v>
      </c>
      <c r="D8" s="8">
        <v>7</v>
      </c>
      <c r="E8" s="8">
        <v>11</v>
      </c>
      <c r="F8" s="8">
        <v>23</v>
      </c>
    </row>
    <row r="9" spans="1:6" x14ac:dyDescent="0.3">
      <c r="A9" s="7" t="s">
        <v>8</v>
      </c>
      <c r="B9" s="8"/>
      <c r="C9" s="8">
        <v>3</v>
      </c>
      <c r="D9" s="8">
        <v>7</v>
      </c>
      <c r="E9" s="8">
        <v>8</v>
      </c>
      <c r="F9" s="8">
        <v>18</v>
      </c>
    </row>
    <row r="10" spans="1:6" x14ac:dyDescent="0.3">
      <c r="A10" s="7" t="s">
        <v>60</v>
      </c>
      <c r="B10" s="8"/>
      <c r="C10" s="8">
        <v>1</v>
      </c>
      <c r="D10" s="8">
        <v>6</v>
      </c>
      <c r="E10" s="8"/>
      <c r="F10" s="8">
        <v>7</v>
      </c>
    </row>
    <row r="11" spans="1:6" x14ac:dyDescent="0.3">
      <c r="A11" s="7" t="s">
        <v>13</v>
      </c>
      <c r="B11" s="8">
        <v>2</v>
      </c>
      <c r="C11" s="8">
        <v>7</v>
      </c>
      <c r="D11" s="8">
        <v>16</v>
      </c>
      <c r="E11" s="8">
        <v>26</v>
      </c>
      <c r="F11" s="8">
        <v>51</v>
      </c>
    </row>
    <row r="12" spans="1:6" x14ac:dyDescent="0.3">
      <c r="A12" s="7" t="s">
        <v>335</v>
      </c>
      <c r="B12" s="8">
        <v>4</v>
      </c>
      <c r="C12" s="8">
        <v>25</v>
      </c>
      <c r="D12" s="8">
        <v>58</v>
      </c>
      <c r="E12" s="8">
        <v>63</v>
      </c>
      <c r="F12" s="8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97B9-F080-4F40-9220-905D31D0F5E6}">
  <dimension ref="A2:C32"/>
  <sheetViews>
    <sheetView topLeftCell="A3" workbookViewId="0">
      <selection activeCell="C7" sqref="C7"/>
    </sheetView>
  </sheetViews>
  <sheetFormatPr defaultRowHeight="14.4" x14ac:dyDescent="0.3"/>
  <cols>
    <col min="1" max="1" width="13.6640625" bestFit="1" customWidth="1"/>
    <col min="2" max="2" width="15.5546875" bestFit="1" customWidth="1"/>
    <col min="3" max="3" width="18" bestFit="1" customWidth="1"/>
  </cols>
  <sheetData>
    <row r="2" spans="1:3" x14ac:dyDescent="0.3">
      <c r="A2" s="6" t="s">
        <v>339</v>
      </c>
      <c r="B2" t="s">
        <v>338</v>
      </c>
      <c r="C2" t="s">
        <v>337</v>
      </c>
    </row>
    <row r="3" spans="1:3" x14ac:dyDescent="0.3">
      <c r="A3" s="7" t="s">
        <v>42</v>
      </c>
      <c r="B3" s="8">
        <v>16</v>
      </c>
      <c r="C3" s="8">
        <v>0.32693981481481477</v>
      </c>
    </row>
    <row r="4" spans="1:3" x14ac:dyDescent="0.3">
      <c r="A4" s="7" t="s">
        <v>35</v>
      </c>
      <c r="B4" s="8">
        <v>15</v>
      </c>
      <c r="C4" s="8">
        <v>0.35209143518518515</v>
      </c>
    </row>
    <row r="5" spans="1:3" x14ac:dyDescent="0.3">
      <c r="A5" s="7" t="s">
        <v>32</v>
      </c>
      <c r="B5" s="8">
        <v>17</v>
      </c>
      <c r="C5" s="8">
        <v>0.28533101851851855</v>
      </c>
    </row>
    <row r="6" spans="1:3" x14ac:dyDescent="0.3">
      <c r="A6" s="7" t="s">
        <v>22</v>
      </c>
      <c r="B6" s="8">
        <v>17</v>
      </c>
      <c r="C6" s="8">
        <v>0.35577314814814809</v>
      </c>
    </row>
    <row r="7" spans="1:3" x14ac:dyDescent="0.3">
      <c r="A7" s="7" t="s">
        <v>25</v>
      </c>
      <c r="B7" s="8">
        <v>13</v>
      </c>
      <c r="C7" s="8">
        <v>0.24178819444444444</v>
      </c>
    </row>
    <row r="8" spans="1:3" x14ac:dyDescent="0.3">
      <c r="A8" s="7" t="s">
        <v>55</v>
      </c>
      <c r="B8" s="8">
        <v>8</v>
      </c>
      <c r="C8" s="8">
        <v>0.17935300925925926</v>
      </c>
    </row>
    <row r="9" spans="1:3" x14ac:dyDescent="0.3">
      <c r="A9" s="16" t="s">
        <v>46</v>
      </c>
      <c r="B9" s="17">
        <v>7</v>
      </c>
      <c r="C9" s="17">
        <v>0.16327546296296297</v>
      </c>
    </row>
    <row r="10" spans="1:3" x14ac:dyDescent="0.3">
      <c r="A10" s="7" t="s">
        <v>18</v>
      </c>
      <c r="B10" s="8">
        <v>16</v>
      </c>
      <c r="C10" s="8">
        <v>0.38772337962962966</v>
      </c>
    </row>
    <row r="11" spans="1:3" x14ac:dyDescent="0.3">
      <c r="A11" s="14" t="s">
        <v>14</v>
      </c>
      <c r="B11" s="15">
        <v>27</v>
      </c>
      <c r="C11" s="15">
        <v>0.4517500000000001</v>
      </c>
    </row>
    <row r="12" spans="1:3" x14ac:dyDescent="0.3">
      <c r="A12" s="7" t="s">
        <v>9</v>
      </c>
      <c r="B12" s="8">
        <v>14</v>
      </c>
      <c r="C12" s="8">
        <v>0.35343055555555553</v>
      </c>
    </row>
    <row r="13" spans="1:3" x14ac:dyDescent="0.3">
      <c r="A13" s="7" t="s">
        <v>335</v>
      </c>
      <c r="B13" s="8">
        <v>150</v>
      </c>
      <c r="C13" s="8">
        <v>3.0974560185185176</v>
      </c>
    </row>
    <row r="18" spans="1:1" ht="18" x14ac:dyDescent="0.3">
      <c r="A18" s="18" t="s">
        <v>349</v>
      </c>
    </row>
    <row r="20" spans="1:1" x14ac:dyDescent="0.3">
      <c r="A20" s="20" t="s">
        <v>348</v>
      </c>
    </row>
    <row r="21" spans="1:1" x14ac:dyDescent="0.3">
      <c r="A21" s="19"/>
    </row>
    <row r="22" spans="1:1" x14ac:dyDescent="0.3">
      <c r="A22" s="20" t="s">
        <v>347</v>
      </c>
    </row>
    <row r="23" spans="1:1" x14ac:dyDescent="0.3">
      <c r="A23" s="19"/>
    </row>
    <row r="24" spans="1:1" x14ac:dyDescent="0.3">
      <c r="A24" s="19"/>
    </row>
    <row r="25" spans="1:1" x14ac:dyDescent="0.3">
      <c r="A25" s="19"/>
    </row>
    <row r="26" spans="1:1" x14ac:dyDescent="0.3">
      <c r="A26" s="19"/>
    </row>
    <row r="27" spans="1:1" x14ac:dyDescent="0.3">
      <c r="A27" s="19"/>
    </row>
    <row r="29" spans="1:1" x14ac:dyDescent="0.3">
      <c r="A29" s="19"/>
    </row>
    <row r="30" spans="1:1" x14ac:dyDescent="0.3">
      <c r="A30" s="19"/>
    </row>
    <row r="31" spans="1:1" x14ac:dyDescent="0.3">
      <c r="A31" s="19"/>
    </row>
    <row r="32" spans="1:1" x14ac:dyDescent="0.3">
      <c r="A32" s="19"/>
    </row>
  </sheetData>
  <conditionalFormatting sqref="A2:C13">
    <cfRule type="cellIs" priority="1" operator="greaterThan">
      <formula>0.39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E2C5C-FF04-4E05-B200-430258D7A9F7}">
  <dimension ref="A1"/>
  <sheetViews>
    <sheetView workbookViewId="0">
      <selection activeCell="N19" sqref="N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9ADF-8DBD-438A-81C0-BE94BE44867C}">
  <dimension ref="A1:K10"/>
  <sheetViews>
    <sheetView workbookViewId="0">
      <selection sqref="A1:K1"/>
    </sheetView>
  </sheetViews>
  <sheetFormatPr defaultRowHeight="14.4" x14ac:dyDescent="0.3"/>
  <sheetData>
    <row r="1" spans="1:11" ht="15.6" x14ac:dyDescent="0.3">
      <c r="A1" s="10" t="s">
        <v>340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5.6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.6" x14ac:dyDescent="0.3">
      <c r="A3" s="12" t="s">
        <v>341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15.6" x14ac:dyDescent="0.3">
      <c r="A4" s="12" t="s">
        <v>342</v>
      </c>
      <c r="B4" s="12"/>
      <c r="C4" s="12"/>
      <c r="D4" s="12"/>
      <c r="E4" s="12"/>
      <c r="F4" s="12"/>
      <c r="G4" s="12"/>
      <c r="H4" s="12"/>
      <c r="I4" s="12"/>
      <c r="J4" s="12"/>
      <c r="K4" s="13"/>
    </row>
    <row r="5" spans="1:11" ht="15.6" x14ac:dyDescent="0.3">
      <c r="A5" s="12" t="s">
        <v>343</v>
      </c>
      <c r="B5" s="12"/>
      <c r="C5" s="12"/>
      <c r="D5" s="12"/>
      <c r="E5" s="12"/>
      <c r="F5" s="12"/>
      <c r="G5" s="12"/>
      <c r="H5" s="12"/>
      <c r="I5" s="12"/>
      <c r="J5" s="12"/>
      <c r="K5" s="13"/>
    </row>
    <row r="6" spans="1:11" ht="15.6" x14ac:dyDescent="0.3">
      <c r="A6" s="12" t="s">
        <v>344</v>
      </c>
      <c r="B6" s="12"/>
      <c r="C6" s="12"/>
      <c r="D6" s="12"/>
      <c r="E6" s="12"/>
      <c r="F6" s="12"/>
      <c r="G6" s="12"/>
      <c r="H6" s="12"/>
      <c r="I6" s="12"/>
      <c r="J6" s="12"/>
      <c r="K6" s="13"/>
    </row>
    <row r="7" spans="1:11" ht="15.6" x14ac:dyDescent="0.3">
      <c r="A7" s="12" t="s">
        <v>345</v>
      </c>
      <c r="B7" s="12"/>
      <c r="C7" s="12"/>
      <c r="D7" s="12"/>
      <c r="E7" s="12"/>
      <c r="F7" s="12"/>
      <c r="G7" s="12"/>
      <c r="H7" s="12"/>
      <c r="I7" s="12"/>
      <c r="J7" s="12"/>
      <c r="K7" s="13"/>
    </row>
    <row r="8" spans="1:11" ht="15.6" x14ac:dyDescent="0.3">
      <c r="A8" s="12" t="s">
        <v>346</v>
      </c>
      <c r="B8" s="12"/>
      <c r="C8" s="12"/>
      <c r="D8" s="12"/>
      <c r="E8" s="12"/>
      <c r="F8" s="12"/>
      <c r="G8" s="12"/>
      <c r="H8" s="12"/>
      <c r="I8" s="12"/>
      <c r="J8" s="12"/>
      <c r="K8" s="13"/>
    </row>
    <row r="9" spans="1:1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3"/>
    </row>
    <row r="10" spans="1:1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ticket_volume</vt:lpstr>
      <vt:lpstr>resolution_time</vt:lpstr>
      <vt:lpstr>root_cause</vt:lpstr>
      <vt:lpstr>analyst_performance</vt:lpstr>
      <vt:lpstr>dashboard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kranthi 99</dc:creator>
  <cp:lastModifiedBy>kranthi 99</cp:lastModifiedBy>
  <dcterms:created xsi:type="dcterms:W3CDTF">2025-09-17T04:37:34Z</dcterms:created>
  <dcterms:modified xsi:type="dcterms:W3CDTF">2025-09-17T09:41:53Z</dcterms:modified>
</cp:coreProperties>
</file>