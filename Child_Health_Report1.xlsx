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WINDOWS\Desktop\coding challenge\Day3 Coding Challenge\"/>
    </mc:Choice>
  </mc:AlternateContent>
  <xr:revisionPtr revIDLastSave="0" documentId="8_{C2F03AE3-312B-4464-A44C-F6047690C73A}" xr6:coauthVersionLast="47" xr6:coauthVersionMax="47" xr10:uidLastSave="{00000000-0000-0000-0000-000000000000}"/>
  <bookViews>
    <workbookView xWindow="-108" yWindow="-108" windowWidth="23256" windowHeight="12456" firstSheet="2" activeTab="2" xr2:uid="{F49D7276-7661-47C0-9D69-D77900EBF295}"/>
  </bookViews>
  <sheets>
    <sheet name="Child_Health_data" sheetId="1" r:id="rId1"/>
    <sheet name="Child_Health_data (2)" sheetId="3" r:id="rId2"/>
    <sheet name="Health_Status_Age_group" sheetId="5" r:id="rId3"/>
    <sheet name="Nutrient_BMI" sheetId="6" r:id="rId4"/>
    <sheet name="Correlation_Sugar_Screen" sheetId="7" r:id="rId5"/>
    <sheet name="Regional_Differences" sheetId="8" r:id="rId6"/>
    <sheet name="Dashboard" sheetId="4" r:id="rId7"/>
  </sheets>
  <definedNames>
    <definedName name="ExternalData_1" localSheetId="1" hidden="1">'Child_Health_data (2)'!$A$1:$J$101</definedName>
    <definedName name="Slicer_Gender">#N/A</definedName>
    <definedName name="Slicer_Health_Status">#N/A</definedName>
    <definedName name="Slicer_Region">#N/A</definedName>
  </definedNames>
  <calcPr calcId="191029"/>
  <pivotCaches>
    <pivotCache cacheId="2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2" i="3"/>
  <c r="L41" i="3"/>
  <c r="K2" i="3"/>
  <c r="L2" i="3" s="1"/>
  <c r="K3" i="3"/>
  <c r="L3" i="3" s="1"/>
  <c r="K4" i="3"/>
  <c r="L4" i="3" s="1"/>
  <c r="K5" i="3"/>
  <c r="L5" i="3" s="1"/>
  <c r="K6" i="3"/>
  <c r="L6" i="3" s="1"/>
  <c r="K7" i="3"/>
  <c r="L7" i="3" s="1"/>
  <c r="K8" i="3"/>
  <c r="L8" i="3" s="1"/>
  <c r="K9" i="3"/>
  <c r="L9" i="3" s="1"/>
  <c r="K10" i="3"/>
  <c r="L10" i="3" s="1"/>
  <c r="K11" i="3"/>
  <c r="L11" i="3" s="1"/>
  <c r="K12" i="3"/>
  <c r="L12" i="3" s="1"/>
  <c r="K13" i="3"/>
  <c r="L13" i="3" s="1"/>
  <c r="K14" i="3"/>
  <c r="L14" i="3" s="1"/>
  <c r="K15" i="3"/>
  <c r="L15" i="3" s="1"/>
  <c r="K16" i="3"/>
  <c r="L16" i="3" s="1"/>
  <c r="K17" i="3"/>
  <c r="L17" i="3" s="1"/>
  <c r="K18" i="3"/>
  <c r="L18" i="3" s="1"/>
  <c r="K19" i="3"/>
  <c r="L19" i="3" s="1"/>
  <c r="K20" i="3"/>
  <c r="L20" i="3" s="1"/>
  <c r="K21" i="3"/>
  <c r="L21" i="3" s="1"/>
  <c r="K22" i="3"/>
  <c r="L22" i="3" s="1"/>
  <c r="K23" i="3"/>
  <c r="L23" i="3" s="1"/>
  <c r="K24" i="3"/>
  <c r="L24" i="3" s="1"/>
  <c r="K25" i="3"/>
  <c r="L25" i="3" s="1"/>
  <c r="K26" i="3"/>
  <c r="L26" i="3" s="1"/>
  <c r="K27" i="3"/>
  <c r="L27" i="3" s="1"/>
  <c r="K28" i="3"/>
  <c r="L28" i="3" s="1"/>
  <c r="K29" i="3"/>
  <c r="L29" i="3" s="1"/>
  <c r="K30" i="3"/>
  <c r="L30" i="3" s="1"/>
  <c r="K31" i="3"/>
  <c r="L31" i="3" s="1"/>
  <c r="K32" i="3"/>
  <c r="L32" i="3" s="1"/>
  <c r="K33" i="3"/>
  <c r="L33" i="3" s="1"/>
  <c r="K34" i="3"/>
  <c r="L34" i="3" s="1"/>
  <c r="K35" i="3"/>
  <c r="L35" i="3" s="1"/>
  <c r="K36" i="3"/>
  <c r="L36" i="3" s="1"/>
  <c r="K37" i="3"/>
  <c r="L37" i="3" s="1"/>
  <c r="K38" i="3"/>
  <c r="L38" i="3" s="1"/>
  <c r="K39" i="3"/>
  <c r="L39" i="3" s="1"/>
  <c r="K40" i="3"/>
  <c r="L40" i="3" s="1"/>
  <c r="K41" i="3"/>
  <c r="K42" i="3"/>
  <c r="L42" i="3" s="1"/>
  <c r="K43" i="3"/>
  <c r="L43" i="3" s="1"/>
  <c r="K44" i="3"/>
  <c r="L44" i="3" s="1"/>
  <c r="K45" i="3"/>
  <c r="L45" i="3" s="1"/>
  <c r="K46" i="3"/>
  <c r="L46" i="3" s="1"/>
  <c r="K47" i="3"/>
  <c r="L47" i="3" s="1"/>
  <c r="K48" i="3"/>
  <c r="L48" i="3" s="1"/>
  <c r="K49" i="3"/>
  <c r="L49" i="3" s="1"/>
  <c r="K50" i="3"/>
  <c r="L50" i="3" s="1"/>
  <c r="K51" i="3"/>
  <c r="L51" i="3" s="1"/>
  <c r="K52" i="3"/>
  <c r="L52" i="3" s="1"/>
  <c r="K53" i="3"/>
  <c r="L53" i="3" s="1"/>
  <c r="K54" i="3"/>
  <c r="L54" i="3" s="1"/>
  <c r="K55" i="3"/>
  <c r="L55" i="3" s="1"/>
  <c r="K56" i="3"/>
  <c r="L56" i="3" s="1"/>
  <c r="K57" i="3"/>
  <c r="L57" i="3" s="1"/>
  <c r="K58" i="3"/>
  <c r="L58" i="3" s="1"/>
  <c r="K59" i="3"/>
  <c r="L59" i="3" s="1"/>
  <c r="K60" i="3"/>
  <c r="L60" i="3" s="1"/>
  <c r="K61" i="3"/>
  <c r="L61" i="3" s="1"/>
  <c r="K62" i="3"/>
  <c r="L62" i="3" s="1"/>
  <c r="K63" i="3"/>
  <c r="L63" i="3" s="1"/>
  <c r="K64" i="3"/>
  <c r="L64" i="3" s="1"/>
  <c r="K65" i="3"/>
  <c r="L65" i="3" s="1"/>
  <c r="K66" i="3"/>
  <c r="L66" i="3" s="1"/>
  <c r="K67" i="3"/>
  <c r="L67" i="3" s="1"/>
  <c r="K68" i="3"/>
  <c r="L68" i="3" s="1"/>
  <c r="K69" i="3"/>
  <c r="L69" i="3" s="1"/>
  <c r="K70" i="3"/>
  <c r="L70" i="3" s="1"/>
  <c r="K71" i="3"/>
  <c r="L71" i="3" s="1"/>
  <c r="K72" i="3"/>
  <c r="L72" i="3" s="1"/>
  <c r="K73" i="3"/>
  <c r="L73" i="3" s="1"/>
  <c r="K74" i="3"/>
  <c r="L74" i="3" s="1"/>
  <c r="K75" i="3"/>
  <c r="L75" i="3" s="1"/>
  <c r="K76" i="3"/>
  <c r="L76" i="3" s="1"/>
  <c r="K77" i="3"/>
  <c r="L77" i="3" s="1"/>
  <c r="K78" i="3"/>
  <c r="L78" i="3" s="1"/>
  <c r="K79" i="3"/>
  <c r="L79" i="3" s="1"/>
  <c r="K80" i="3"/>
  <c r="L80" i="3" s="1"/>
  <c r="K81" i="3"/>
  <c r="L81" i="3" s="1"/>
  <c r="K82" i="3"/>
  <c r="L82" i="3" s="1"/>
  <c r="K83" i="3"/>
  <c r="L83" i="3" s="1"/>
  <c r="K84" i="3"/>
  <c r="L84" i="3" s="1"/>
  <c r="K85" i="3"/>
  <c r="L85" i="3" s="1"/>
  <c r="K86" i="3"/>
  <c r="L86" i="3" s="1"/>
  <c r="K87" i="3"/>
  <c r="L87" i="3" s="1"/>
  <c r="K88" i="3"/>
  <c r="L88" i="3" s="1"/>
  <c r="K89" i="3"/>
  <c r="L89" i="3" s="1"/>
  <c r="K90" i="3"/>
  <c r="L90" i="3" s="1"/>
  <c r="K91" i="3"/>
  <c r="L91" i="3" s="1"/>
  <c r="K92" i="3"/>
  <c r="L92" i="3" s="1"/>
  <c r="K93" i="3"/>
  <c r="L93" i="3" s="1"/>
  <c r="K94" i="3"/>
  <c r="L94" i="3" s="1"/>
  <c r="K95" i="3"/>
  <c r="L95" i="3" s="1"/>
  <c r="K96" i="3"/>
  <c r="L96" i="3" s="1"/>
  <c r="K97" i="3"/>
  <c r="L97" i="3" s="1"/>
  <c r="K98" i="3"/>
  <c r="L98" i="3" s="1"/>
  <c r="K99" i="3"/>
  <c r="L99" i="3" s="1"/>
  <c r="K100" i="3"/>
  <c r="L100" i="3" s="1"/>
  <c r="K101" i="3"/>
  <c r="L101"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2E10EC-E646-485C-885E-4AE10E001AF8}" keepAlive="1" name="Query - Child_Health_data" description="Connection to the 'Child_Health_data' query in the workbook." type="5" refreshedVersion="8" background="1" saveData="1">
    <dbPr connection="Provider=Microsoft.Mashup.OleDb.1;Data Source=$Workbook$;Location=Child_Health_data;Extended Properties=&quot;&quot;" command="SELECT * FROM [Child_Health_data]"/>
  </connection>
</connections>
</file>

<file path=xl/sharedStrings.xml><?xml version="1.0" encoding="utf-8"?>
<sst xmlns="http://schemas.openxmlformats.org/spreadsheetml/2006/main" count="656" uniqueCount="138">
  <si>
    <t>ChildID</t>
  </si>
  <si>
    <t>Age_Months</t>
  </si>
  <si>
    <t>Gender</t>
  </si>
  <si>
    <t>Height_cm</t>
  </si>
  <si>
    <t>Weight_kg</t>
  </si>
  <si>
    <t>Daily_Fruit_Servings</t>
  </si>
  <si>
    <t>Daily_Veggie_Servings</t>
  </si>
  <si>
    <t>Daily_Sugar_Drinks</t>
  </si>
  <si>
    <t>ScreenTime_Hours</t>
  </si>
  <si>
    <t>Region</t>
  </si>
  <si>
    <t>C001</t>
  </si>
  <si>
    <t>Female</t>
  </si>
  <si>
    <t>South</t>
  </si>
  <si>
    <t>C002</t>
  </si>
  <si>
    <t>Central</t>
  </si>
  <si>
    <t>C003</t>
  </si>
  <si>
    <t>C004</t>
  </si>
  <si>
    <t>C005</t>
  </si>
  <si>
    <t>C006</t>
  </si>
  <si>
    <t>Male</t>
  </si>
  <si>
    <t>East</t>
  </si>
  <si>
    <t>C007</t>
  </si>
  <si>
    <t>C008</t>
  </si>
  <si>
    <t>C009</t>
  </si>
  <si>
    <t>North</t>
  </si>
  <si>
    <t>C010</t>
  </si>
  <si>
    <t>C011</t>
  </si>
  <si>
    <t>West</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</si>
  <si>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</si>
  <si>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</si>
  <si>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</si>
  <si>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</si>
  <si>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</si>
  <si>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</si>
  <si>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</si>
  <si>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</si>
  <si>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</si>
  <si>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</si>
  <si>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</si>
  <si>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</si>
  <si>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</si>
  <si>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</si>
  <si>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</si>
  <si>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</si>
  <si>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</si>
  <si>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</si>
  <si>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</si>
  <si>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</si>
  <si>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</si>
  <si>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</si>
  <si>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</si>
  <si>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</si>
  <si>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</si>
  <si>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</si>
  <si>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</si>
  <si>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</si>
  <si>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</si>
  <si>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</si>
  <si>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</si>
  <si>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</si>
  <si>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</si>
  <si>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</si>
  <si>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</si>
  <si>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</si>
  <si>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</si>
  <si>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</si>
  <si>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</si>
  <si>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C051</t>
  </si>
  <si>
    <t>C052</t>
  </si>
  <si>
    <t>C053</t>
  </si>
  <si>
    <t>C054</t>
  </si>
  <si>
    <t>C055</t>
  </si>
  <si>
    <t>C056</t>
  </si>
  <si>
    <t>C057</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</si>
  <si>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</si>
  <si>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</si>
  <si>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</si>
  <si>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</si>
  <si>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</si>
  <si>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</si>
  <si>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</si>
  <si>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</si>
  <si>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</si>
  <si>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</si>
  <si>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</si>
  <si>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</si>
  <si>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</si>
  <si>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</si>
  <si>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</si>
  <si>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</si>
  <si>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</si>
  <si>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</si>
  <si>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</si>
  <si>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</si>
  <si>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</si>
  <si>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</si>
  <si>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</si>
  <si>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</si>
  <si>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</si>
  <si>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</si>
  <si>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</si>
  <si>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</si>
  <si>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</si>
  <si>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</si>
  <si>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</si>
  <si>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</si>
  <si>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</si>
  <si>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</si>
  <si>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</si>
  <si>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</si>
  <si>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</si>
  <si>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</si>
  <si>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</si>
  <si>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</si>
  <si>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</si>
  <si>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</si>
  <si>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</si>
  <si>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BMI</t>
  </si>
  <si>
    <t>Health_Status</t>
  </si>
  <si>
    <t>Row Labels</t>
  </si>
  <si>
    <t>Healthy Weight</t>
  </si>
  <si>
    <t>Grand Total</t>
  </si>
  <si>
    <t>Age_Group</t>
  </si>
  <si>
    <t>24-36 Months</t>
  </si>
  <si>
    <t>37-48 Months</t>
  </si>
  <si>
    <t>49-60 Months</t>
  </si>
  <si>
    <t>Health Status by Age Group</t>
  </si>
  <si>
    <t/>
  </si>
  <si>
    <t>Average of Daily_Fruit_Servings</t>
  </si>
  <si>
    <t>Average of BMI</t>
  </si>
  <si>
    <t>fruit</t>
  </si>
  <si>
    <t>vegie</t>
  </si>
  <si>
    <t>Nutrient Intake vs. BMI</t>
  </si>
  <si>
    <t>Average of Daily_Sugar_Drinks</t>
  </si>
  <si>
    <t>Average of ScreenTime_Hours</t>
  </si>
  <si>
    <t>Correlation of Sugar and Screen Time</t>
  </si>
  <si>
    <t>Regional Differences</t>
  </si>
  <si>
    <t>Sum of Field1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</si>
</sst>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sz val="11"/>
      <color indexed="8"/>
      <name val="Calibri"/>
      <charset val="134"/>
    </font>
    <font>
      <sz val="8"/>
      <name val="Aptos Narrow"/>
      <family val="2"/>
      <scheme val="minor"/>
    </font>
    <font>
      <sz val="12"/>
      <color theme="1"/>
      <name val="Aptos Narrow"/>
      <family val="2"/>
      <scheme val="minor"/>
    </font>
    <font>
      <sz val="14"/>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vertical="center"/>
    </xf>
    <xf numFmtId="0" fontId="0" fillId="0" borderId="0" xfId="0" applyNumberFormat="1"/>
    <xf numFmtId="0" fontId="0" fillId="0" borderId="0" xfId="0" pivotButton="1"/>
    <xf numFmtId="0" fontId="0" fillId="0" borderId="0" xfId="0" applyAlignment="1">
      <alignment horizontal="left"/>
    </xf>
    <xf numFmtId="0" fontId="4" fillId="2" borderId="0" xfId="0" applyFont="1" applyFill="1" applyAlignment="1">
      <alignment horizontal="center"/>
    </xf>
    <xf numFmtId="0" fontId="0" fillId="2" borderId="0" xfId="0" applyFill="1" applyAlignment="1">
      <alignment horizontal="center"/>
    </xf>
    <xf numFmtId="2" fontId="0" fillId="0" borderId="0" xfId="0" applyNumberFormat="1"/>
    <xf numFmtId="0" fontId="3" fillId="2" borderId="0" xfId="0" applyFont="1" applyFill="1" applyAlignment="1">
      <alignment horizontal="center"/>
    </xf>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[Child_Health_Report1.xlsx]Health_Status_Age_group!PivotTable2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46981627296588"/>
          <c:y val="0.16564596092155148"/>
          <c:w val="0.68701093613298336"/>
          <c:h val="0.65890128317293672"/>
        </c:manualLayout>
      </c:layout>
      <c:barChart>
        <c:barDir val="col"/>
        <c:grouping val="clustered"/>
        <c:varyColors val="0"/>
        <c:ser>
          <c:idx val="0"/>
          <c:order val="0"/>
          <c:tx>
            <c:strRef>
              <c:f>Health_Status_Age_group!$B$6:$B$7</c:f>
              <c:strCache>
                <c:ptCount val="1"/>
                <c:pt idx="0">
                  <c:v>Healthy Weight</c:v>
                </c:pt>
              </c:strCache>
            </c:strRef>
          </c:tx>
          <c:spPr>
            <a:solidFill>
              <a:schemeClr val="accent1"/>
            </a:solidFill>
            <a:ln>
              <a:noFill/>
            </a:ln>
            <a:effectLst/>
          </c:spPr>
          <c:invertIfNegative val="0"/>
          <c:cat>
            <c:strRef>
              <c:f>Health_Status_Age_group!$A$8:$A$11</c:f>
              <c:strCache>
                <c:ptCount val="3"/>
                <c:pt idx="0">
                  <c:v>24-36 Months</c:v>
                </c:pt>
                <c:pt idx="1">
                  <c:v>37-48 Months</c:v>
                </c:pt>
                <c:pt idx="2">
                  <c:v>49-60 Months</c:v>
                </c:pt>
              </c:strCache>
            </c:strRef>
          </c:cat>
          <c:val>
            <c:numRef>
              <c:f>Health_Status_Age_group!$B$8:$B$11</c:f>
              <c:numCache>
                <c:formatCode>General</c:formatCode>
                <c:ptCount val="3"/>
                <c:pt idx="0">
                  <c:v>3</c:v>
                </c:pt>
                <c:pt idx="1">
                  <c:v>5</c:v>
                </c:pt>
                <c:pt idx="2">
                  <c:v>5</c:v>
                </c:pt>
              </c:numCache>
            </c:numRef>
          </c:val>
          <c:extLst>
            <c:ext xmlns:c16="http://schemas.microsoft.com/office/drawing/2014/chart" uri="{C3380CC4-5D6E-409C-BE32-E72D297353CC}">
              <c16:uniqueId val="{00000000-670B-48D8-9187-481B8985E131}"/>
            </c:ext>
          </c:extLst>
        </c:ser>
        <c:dLbls>
          <c:showLegendKey val="0"/>
          <c:showVal val="0"/>
          <c:showCatName val="0"/>
          <c:showSerName val="0"/>
          <c:showPercent val="0"/>
          <c:showBubbleSize val="0"/>
        </c:dLbls>
        <c:gapWidth val="219"/>
        <c:overlap val="-27"/>
        <c:axId val="1309433744"/>
        <c:axId val="1309433264"/>
      </c:barChart>
      <c:catAx>
        <c:axId val="130943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433264"/>
        <c:crosses val="autoZero"/>
        <c:auto val="1"/>
        <c:lblAlgn val="ctr"/>
        <c:lblOffset val="100"/>
        <c:noMultiLvlLbl val="0"/>
      </c:catAx>
      <c:valAx>
        <c:axId val="1309433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43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[Child_Health_Report1.xlsx]Nutrient_BMI!PivotTable3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Nutrient_BMI!$B$3:$B$4</c:f>
              <c:strCache>
                <c:ptCount val="1"/>
                <c:pt idx="0">
                  <c:v>0</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Nutrient_BMI!$A$5:$A$10</c:f>
              <c:strCache>
                <c:ptCount val="5"/>
                <c:pt idx="0">
                  <c:v>0</c:v>
                </c:pt>
                <c:pt idx="1">
                  <c:v>1</c:v>
                </c:pt>
                <c:pt idx="2">
                  <c:v>2</c:v>
                </c:pt>
                <c:pt idx="3">
                  <c:v>3</c:v>
                </c:pt>
                <c:pt idx="4">
                  <c:v>4</c:v>
                </c:pt>
              </c:strCache>
            </c:strRef>
          </c:cat>
          <c:val>
            <c:numRef>
              <c:f>Nutrient_BMI!$B$5:$B$10</c:f>
              <c:numCache>
                <c:formatCode>0.00</c:formatCode>
                <c:ptCount val="5"/>
                <c:pt idx="0">
                  <c:v>19.92193117497148</c:v>
                </c:pt>
                <c:pt idx="2">
                  <c:v>19.75238446372795</c:v>
                </c:pt>
              </c:numCache>
            </c:numRef>
          </c:val>
          <c:extLst>
            <c:ext xmlns:c16="http://schemas.microsoft.com/office/drawing/2014/chart" uri="{C3380CC4-5D6E-409C-BE32-E72D297353CC}">
              <c16:uniqueId val="{00000000-A7DB-420D-857E-2D319EE37438}"/>
            </c:ext>
          </c:extLst>
        </c:ser>
        <c:ser>
          <c:idx val="1"/>
          <c:order val="1"/>
          <c:tx>
            <c:strRef>
              <c:f>Nutrient_BMI!$C$3:$C$4</c:f>
              <c:strCache>
                <c:ptCount val="1"/>
                <c:pt idx="0">
                  <c:v>1</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Nutrient_BMI!$A$5:$A$10</c:f>
              <c:strCache>
                <c:ptCount val="5"/>
                <c:pt idx="0">
                  <c:v>0</c:v>
                </c:pt>
                <c:pt idx="1">
                  <c:v>1</c:v>
                </c:pt>
                <c:pt idx="2">
                  <c:v>2</c:v>
                </c:pt>
                <c:pt idx="3">
                  <c:v>3</c:v>
                </c:pt>
                <c:pt idx="4">
                  <c:v>4</c:v>
                </c:pt>
              </c:strCache>
            </c:strRef>
          </c:cat>
          <c:val>
            <c:numRef>
              <c:f>Nutrient_BMI!$C$5:$C$10</c:f>
              <c:numCache>
                <c:formatCode>0.00</c:formatCode>
                <c:ptCount val="5"/>
                <c:pt idx="0">
                  <c:v>21.147731176326783</c:v>
                </c:pt>
                <c:pt idx="4">
                  <c:v>19.775366471749727</c:v>
                </c:pt>
              </c:numCache>
            </c:numRef>
          </c:val>
          <c:extLst>
            <c:ext xmlns:c16="http://schemas.microsoft.com/office/drawing/2014/chart" uri="{C3380CC4-5D6E-409C-BE32-E72D297353CC}">
              <c16:uniqueId val="{00000001-A7DB-420D-857E-2D319EE37438}"/>
            </c:ext>
          </c:extLst>
        </c:ser>
        <c:ser>
          <c:idx val="2"/>
          <c:order val="2"/>
          <c:tx>
            <c:strRef>
              <c:f>Nutrient_BMI!$D$3:$D$4</c:f>
              <c:strCache>
                <c:ptCount val="1"/>
                <c:pt idx="0">
                  <c:v>2</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Nutrient_BMI!$A$5:$A$10</c:f>
              <c:strCache>
                <c:ptCount val="5"/>
                <c:pt idx="0">
                  <c:v>0</c:v>
                </c:pt>
                <c:pt idx="1">
                  <c:v>1</c:v>
                </c:pt>
                <c:pt idx="2">
                  <c:v>2</c:v>
                </c:pt>
                <c:pt idx="3">
                  <c:v>3</c:v>
                </c:pt>
                <c:pt idx="4">
                  <c:v>4</c:v>
                </c:pt>
              </c:strCache>
            </c:strRef>
          </c:cat>
          <c:val>
            <c:numRef>
              <c:f>Nutrient_BMI!$D$5:$D$10</c:f>
              <c:numCache>
                <c:formatCode>0.00</c:formatCode>
                <c:ptCount val="5"/>
                <c:pt idx="1">
                  <c:v>18.706628300517327</c:v>
                </c:pt>
                <c:pt idx="2">
                  <c:v>18.553628408784363</c:v>
                </c:pt>
                <c:pt idx="3">
                  <c:v>20.063638232449808</c:v>
                </c:pt>
              </c:numCache>
            </c:numRef>
          </c:val>
          <c:extLst>
            <c:ext xmlns:c16="http://schemas.microsoft.com/office/drawing/2014/chart" uri="{C3380CC4-5D6E-409C-BE32-E72D297353CC}">
              <c16:uniqueId val="{00000002-A7DB-420D-857E-2D319EE37438}"/>
            </c:ext>
          </c:extLst>
        </c:ser>
        <c:ser>
          <c:idx val="3"/>
          <c:order val="3"/>
          <c:tx>
            <c:strRef>
              <c:f>Nutrient_BMI!$E$3:$E$4</c:f>
              <c:strCache>
                <c:ptCount val="1"/>
                <c:pt idx="0">
                  <c:v>3</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Nutrient_BMI!$A$5:$A$10</c:f>
              <c:strCache>
                <c:ptCount val="5"/>
                <c:pt idx="0">
                  <c:v>0</c:v>
                </c:pt>
                <c:pt idx="1">
                  <c:v>1</c:v>
                </c:pt>
                <c:pt idx="2">
                  <c:v>2</c:v>
                </c:pt>
                <c:pt idx="3">
                  <c:v>3</c:v>
                </c:pt>
                <c:pt idx="4">
                  <c:v>4</c:v>
                </c:pt>
              </c:strCache>
            </c:strRef>
          </c:cat>
          <c:val>
            <c:numRef>
              <c:f>Nutrient_BMI!$E$5:$E$10</c:f>
              <c:numCache>
                <c:formatCode>0.00</c:formatCode>
                <c:ptCount val="5"/>
                <c:pt idx="3">
                  <c:v>19.105850849662808</c:v>
                </c:pt>
                <c:pt idx="4">
                  <c:v>19.570875087215928</c:v>
                </c:pt>
              </c:numCache>
            </c:numRef>
          </c:val>
          <c:extLst>
            <c:ext xmlns:c16="http://schemas.microsoft.com/office/drawing/2014/chart" uri="{C3380CC4-5D6E-409C-BE32-E72D297353CC}">
              <c16:uniqueId val="{00000009-A7DB-420D-857E-2D319EE37438}"/>
            </c:ext>
          </c:extLst>
        </c:ser>
        <c:ser>
          <c:idx val="4"/>
          <c:order val="4"/>
          <c:tx>
            <c:strRef>
              <c:f>Nutrient_BMI!$F$3:$F$4</c:f>
              <c:strCache>
                <c:ptCount val="1"/>
                <c:pt idx="0">
                  <c:v>4</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Nutrient_BMI!$A$5:$A$10</c:f>
              <c:strCache>
                <c:ptCount val="5"/>
                <c:pt idx="0">
                  <c:v>0</c:v>
                </c:pt>
                <c:pt idx="1">
                  <c:v>1</c:v>
                </c:pt>
                <c:pt idx="2">
                  <c:v>2</c:v>
                </c:pt>
                <c:pt idx="3">
                  <c:v>3</c:v>
                </c:pt>
                <c:pt idx="4">
                  <c:v>4</c:v>
                </c:pt>
              </c:strCache>
            </c:strRef>
          </c:cat>
          <c:val>
            <c:numRef>
              <c:f>Nutrient_BMI!$F$5:$F$10</c:f>
              <c:numCache>
                <c:formatCode>0.00</c:formatCode>
                <c:ptCount val="5"/>
                <c:pt idx="1">
                  <c:v>18.541643890060385</c:v>
                </c:pt>
              </c:numCache>
            </c:numRef>
          </c:val>
          <c:extLst>
            <c:ext xmlns:c16="http://schemas.microsoft.com/office/drawing/2014/chart" uri="{C3380CC4-5D6E-409C-BE32-E72D297353CC}">
              <c16:uniqueId val="{0000000A-A7DB-420D-857E-2D319EE3743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[Child_Health_Report1.xlsx]Correlation_Sugar_Screen!PivotTable4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Correlation_Sugar_Screen!$B$3</c:f>
              <c:strCache>
                <c:ptCount val="1"/>
                <c:pt idx="0">
                  <c:v>Average of Daily_Sugar_Drinks</c:v>
                </c:pt>
              </c:strCache>
            </c:strRef>
          </c:tx>
          <c:spPr>
            <a:solidFill>
              <a:schemeClr val="accent1"/>
            </a:solidFill>
            <a:ln>
              <a:noFill/>
            </a:ln>
            <a:effectLst/>
          </c:spPr>
          <c:invertIfNegative val="0"/>
          <c:cat>
            <c:strRef>
              <c:f>Correlation_Sugar_Screen!$A$4:$A$5</c:f>
              <c:strCache>
                <c:ptCount val="1"/>
                <c:pt idx="0">
                  <c:v>Healthy Weight</c:v>
                </c:pt>
              </c:strCache>
            </c:strRef>
          </c:cat>
          <c:val>
            <c:numRef>
              <c:f>Correlation_Sugar_Screen!$B$4:$B$5</c:f>
              <c:numCache>
                <c:formatCode>0.00</c:formatCode>
                <c:ptCount val="1"/>
                <c:pt idx="0">
                  <c:v>1.3076923076923077</c:v>
                </c:pt>
              </c:numCache>
            </c:numRef>
          </c:val>
          <c:extLst>
            <c:ext xmlns:c16="http://schemas.microsoft.com/office/drawing/2014/chart" uri="{C3380CC4-5D6E-409C-BE32-E72D297353CC}">
              <c16:uniqueId val="{00000000-886C-43BB-9EE3-0A16956B2590}"/>
            </c:ext>
          </c:extLst>
        </c:ser>
        <c:ser>
          <c:idx val="1"/>
          <c:order val="1"/>
          <c:tx>
            <c:strRef>
              <c:f>Correlation_Sugar_Screen!$C$3</c:f>
              <c:strCache>
                <c:ptCount val="1"/>
                <c:pt idx="0">
                  <c:v>Average of ScreenTime_Hours</c:v>
                </c:pt>
              </c:strCache>
            </c:strRef>
          </c:tx>
          <c:spPr>
            <a:solidFill>
              <a:schemeClr val="accent2"/>
            </a:solidFill>
            <a:ln>
              <a:noFill/>
            </a:ln>
            <a:effectLst/>
          </c:spPr>
          <c:invertIfNegative val="0"/>
          <c:cat>
            <c:strRef>
              <c:f>Correlation_Sugar_Screen!$A$4:$A$5</c:f>
              <c:strCache>
                <c:ptCount val="1"/>
                <c:pt idx="0">
                  <c:v>Healthy Weight</c:v>
                </c:pt>
              </c:strCache>
            </c:strRef>
          </c:cat>
          <c:val>
            <c:numRef>
              <c:f>Correlation_Sugar_Screen!$C$4:$C$5</c:f>
              <c:numCache>
                <c:formatCode>0.00</c:formatCode>
                <c:ptCount val="1"/>
                <c:pt idx="0">
                  <c:v>1.4769230769230768</c:v>
                </c:pt>
              </c:numCache>
            </c:numRef>
          </c:val>
          <c:extLst>
            <c:ext xmlns:c16="http://schemas.microsoft.com/office/drawing/2014/chart" uri="{C3380CC4-5D6E-409C-BE32-E72D297353CC}">
              <c16:uniqueId val="{00000001-886C-43BB-9EE3-0A16956B2590}"/>
            </c:ext>
          </c:extLst>
        </c:ser>
        <c:ser>
          <c:idx val="2"/>
          <c:order val="2"/>
          <c:tx>
            <c:strRef>
              <c:f>Correlation_Sugar_Screen!$D$3</c:f>
              <c:strCache>
                <c:ptCount val="1"/>
                <c:pt idx="0">
                  <c:v>Sum of Field1</c:v>
                </c:pt>
              </c:strCache>
            </c:strRef>
          </c:tx>
          <c:spPr>
            <a:solidFill>
              <a:schemeClr val="accent3"/>
            </a:solidFill>
            <a:ln>
              <a:noFill/>
            </a:ln>
            <a:effectLst/>
          </c:spPr>
          <c:invertIfNegative val="0"/>
          <c:cat>
            <c:strRef>
              <c:f>Correlation_Sugar_Screen!$A$4:$A$5</c:f>
              <c:strCache>
                <c:ptCount val="1"/>
                <c:pt idx="0">
                  <c:v>Healthy Weight</c:v>
                </c:pt>
              </c:strCache>
            </c:strRef>
          </c:cat>
          <c:val>
            <c:numRef>
              <c:f>Correlation_Sugar_Screen!$D$4:$D$5</c:f>
              <c:numCache>
                <c:formatCode>General</c:formatCode>
                <c:ptCount val="1"/>
                <c:pt idx="0">
                  <c:v>0</c:v>
                </c:pt>
              </c:numCache>
            </c:numRef>
          </c:val>
          <c:extLst>
            <c:ext xmlns:c16="http://schemas.microsoft.com/office/drawing/2014/chart" uri="{C3380CC4-5D6E-409C-BE32-E72D297353CC}">
              <c16:uniqueId val="{00000003-886C-43BB-9EE3-0A16956B2590}"/>
            </c:ext>
          </c:extLst>
        </c:ser>
        <c:dLbls>
          <c:showLegendKey val="0"/>
          <c:showVal val="0"/>
          <c:showCatName val="0"/>
          <c:showSerName val="0"/>
          <c:showPercent val="0"/>
          <c:showBubbleSize val="0"/>
        </c:dLbls>
        <c:gapWidth val="182"/>
        <c:axId val="1307727648"/>
        <c:axId val="1317023552"/>
      </c:barChart>
      <c:catAx>
        <c:axId val="130772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023552"/>
        <c:crosses val="autoZero"/>
        <c:auto val="1"/>
        <c:lblAlgn val="ctr"/>
        <c:lblOffset val="100"/>
        <c:noMultiLvlLbl val="0"/>
      </c:catAx>
      <c:valAx>
        <c:axId val="131702355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727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[Child_Health_Report1.xlsx]Correlation_Sugar_Screen!PivotTable4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Correlation_Sugar_Screen!$B$3</c:f>
              <c:strCache>
                <c:ptCount val="1"/>
                <c:pt idx="0">
                  <c:v>Average of Daily_Sugar_Drinks</c:v>
                </c:pt>
              </c:strCache>
            </c:strRef>
          </c:tx>
          <c:spPr>
            <a:solidFill>
              <a:schemeClr val="accent1"/>
            </a:solidFill>
            <a:ln>
              <a:noFill/>
            </a:ln>
            <a:effectLst/>
          </c:spPr>
          <c:invertIfNegative val="0"/>
          <c:cat>
            <c:strRef>
              <c:f>Correlation_Sugar_Screen!$A$4:$A$5</c:f>
              <c:strCache>
                <c:ptCount val="1"/>
                <c:pt idx="0">
                  <c:v>Healthy Weight</c:v>
                </c:pt>
              </c:strCache>
            </c:strRef>
          </c:cat>
          <c:val>
            <c:numRef>
              <c:f>Correlation_Sugar_Screen!$B$4:$B$5</c:f>
              <c:numCache>
                <c:formatCode>0.00</c:formatCode>
                <c:ptCount val="1"/>
                <c:pt idx="0">
                  <c:v>1.3076923076923077</c:v>
                </c:pt>
              </c:numCache>
            </c:numRef>
          </c:val>
          <c:extLst>
            <c:ext xmlns:c16="http://schemas.microsoft.com/office/drawing/2014/chart" uri="{C3380CC4-5D6E-409C-BE32-E72D297353CC}">
              <c16:uniqueId val="{00000000-5801-4318-B963-6F0808734281}"/>
            </c:ext>
          </c:extLst>
        </c:ser>
        <c:ser>
          <c:idx val="1"/>
          <c:order val="1"/>
          <c:tx>
            <c:strRef>
              <c:f>Correlation_Sugar_Screen!$C$3</c:f>
              <c:strCache>
                <c:ptCount val="1"/>
                <c:pt idx="0">
                  <c:v>Average of ScreenTime_Hours</c:v>
                </c:pt>
              </c:strCache>
            </c:strRef>
          </c:tx>
          <c:spPr>
            <a:solidFill>
              <a:schemeClr val="accent2"/>
            </a:solidFill>
            <a:ln>
              <a:noFill/>
            </a:ln>
            <a:effectLst/>
          </c:spPr>
          <c:invertIfNegative val="0"/>
          <c:cat>
            <c:strRef>
              <c:f>Correlation_Sugar_Screen!$A$4:$A$5</c:f>
              <c:strCache>
                <c:ptCount val="1"/>
                <c:pt idx="0">
                  <c:v>Healthy Weight</c:v>
                </c:pt>
              </c:strCache>
            </c:strRef>
          </c:cat>
          <c:val>
            <c:numRef>
              <c:f>Correlation_Sugar_Screen!$C$4:$C$5</c:f>
              <c:numCache>
                <c:formatCode>0.00</c:formatCode>
                <c:ptCount val="1"/>
                <c:pt idx="0">
                  <c:v>1.4769230769230768</c:v>
                </c:pt>
              </c:numCache>
            </c:numRef>
          </c:val>
          <c:extLst>
            <c:ext xmlns:c16="http://schemas.microsoft.com/office/drawing/2014/chart" uri="{C3380CC4-5D6E-409C-BE32-E72D297353CC}">
              <c16:uniqueId val="{00000001-5801-4318-B963-6F0808734281}"/>
            </c:ext>
          </c:extLst>
        </c:ser>
        <c:ser>
          <c:idx val="2"/>
          <c:order val="2"/>
          <c:tx>
            <c:strRef>
              <c:f>Correlation_Sugar_Screen!$D$3</c:f>
              <c:strCache>
                <c:ptCount val="1"/>
                <c:pt idx="0">
                  <c:v>Sum of Field1</c:v>
                </c:pt>
              </c:strCache>
            </c:strRef>
          </c:tx>
          <c:spPr>
            <a:solidFill>
              <a:schemeClr val="accent3"/>
            </a:solidFill>
            <a:ln>
              <a:noFill/>
            </a:ln>
            <a:effectLst/>
          </c:spPr>
          <c:invertIfNegative val="0"/>
          <c:cat>
            <c:strRef>
              <c:f>Correlation_Sugar_Screen!$A$4:$A$5</c:f>
              <c:strCache>
                <c:ptCount val="1"/>
                <c:pt idx="0">
                  <c:v>Healthy Weight</c:v>
                </c:pt>
              </c:strCache>
            </c:strRef>
          </c:cat>
          <c:val>
            <c:numRef>
              <c:f>Correlation_Sugar_Screen!$D$4:$D$5</c:f>
              <c:numCache>
                <c:formatCode>General</c:formatCode>
                <c:ptCount val="1"/>
                <c:pt idx="0">
                  <c:v>0</c:v>
                </c:pt>
              </c:numCache>
            </c:numRef>
          </c:val>
          <c:extLst>
            <c:ext xmlns:c16="http://schemas.microsoft.com/office/drawing/2014/chart" uri="{C3380CC4-5D6E-409C-BE32-E72D297353CC}">
              <c16:uniqueId val="{00000002-5801-4318-B963-6F0808734281}"/>
            </c:ext>
          </c:extLst>
        </c:ser>
        <c:dLbls>
          <c:showLegendKey val="0"/>
          <c:showVal val="0"/>
          <c:showCatName val="0"/>
          <c:showSerName val="0"/>
          <c:showPercent val="0"/>
          <c:showBubbleSize val="0"/>
        </c:dLbls>
        <c:gapWidth val="182"/>
        <c:axId val="1307727648"/>
        <c:axId val="1317023552"/>
      </c:barChart>
      <c:catAx>
        <c:axId val="130772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023552"/>
        <c:crosses val="autoZero"/>
        <c:auto val="1"/>
        <c:lblAlgn val="ctr"/>
        <c:lblOffset val="100"/>
        <c:noMultiLvlLbl val="0"/>
      </c:catAx>
      <c:valAx>
        <c:axId val="131702355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727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[Child_Health_Report1.xlsx]Nutrient_BMI!PivotTable3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s>
    <c:plotArea>
      <c:layout/>
      <c:pieChart>
        <c:varyColors val="1"/>
        <c:ser>
          <c:idx val="0"/>
          <c:order val="0"/>
          <c:tx>
            <c:strRef>
              <c:f>Nutrient_BMI!$B$3:$B$4</c:f>
              <c:strCache>
                <c:ptCount val="1"/>
                <c:pt idx="0">
                  <c:v>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6E6-48AE-8F94-0EE77883BF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E6-48AE-8F94-0EE77883BF6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6E6-48AE-8F94-0EE77883BF6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6E6-48AE-8F94-0EE77883BF6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6E6-48AE-8F94-0EE77883BF65}"/>
              </c:ext>
            </c:extLst>
          </c:dPt>
          <c:cat>
            <c:strRef>
              <c:f>Nutrient_BMI!$A$5:$A$10</c:f>
              <c:strCache>
                <c:ptCount val="5"/>
                <c:pt idx="0">
                  <c:v>0</c:v>
                </c:pt>
                <c:pt idx="1">
                  <c:v>1</c:v>
                </c:pt>
                <c:pt idx="2">
                  <c:v>2</c:v>
                </c:pt>
                <c:pt idx="3">
                  <c:v>3</c:v>
                </c:pt>
                <c:pt idx="4">
                  <c:v>4</c:v>
                </c:pt>
              </c:strCache>
            </c:strRef>
          </c:cat>
          <c:val>
            <c:numRef>
              <c:f>Nutrient_BMI!$B$5:$B$10</c:f>
              <c:numCache>
                <c:formatCode>0.00</c:formatCode>
                <c:ptCount val="5"/>
                <c:pt idx="0">
                  <c:v>19.92193117497148</c:v>
                </c:pt>
                <c:pt idx="2">
                  <c:v>19.75238446372795</c:v>
                </c:pt>
              </c:numCache>
            </c:numRef>
          </c:val>
          <c:extLst>
            <c:ext xmlns:c16="http://schemas.microsoft.com/office/drawing/2014/chart" uri="{C3380CC4-5D6E-409C-BE32-E72D297353CC}">
              <c16:uniqueId val="{0000000A-26E6-48AE-8F94-0EE77883BF65}"/>
            </c:ext>
          </c:extLst>
        </c:ser>
        <c:ser>
          <c:idx val="1"/>
          <c:order val="1"/>
          <c:tx>
            <c:strRef>
              <c:f>Nutrient_BMI!$C$3:$C$4</c:f>
              <c:strCache>
                <c:ptCount val="1"/>
                <c:pt idx="0">
                  <c:v>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26E6-48AE-8F94-0EE77883BF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26E6-48AE-8F94-0EE77883BF6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26E6-48AE-8F94-0EE77883BF6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26E6-48AE-8F94-0EE77883BF6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26E6-48AE-8F94-0EE77883BF65}"/>
              </c:ext>
            </c:extLst>
          </c:dPt>
          <c:cat>
            <c:strRef>
              <c:f>Nutrient_BMI!$A$5:$A$10</c:f>
              <c:strCache>
                <c:ptCount val="5"/>
                <c:pt idx="0">
                  <c:v>0</c:v>
                </c:pt>
                <c:pt idx="1">
                  <c:v>1</c:v>
                </c:pt>
                <c:pt idx="2">
                  <c:v>2</c:v>
                </c:pt>
                <c:pt idx="3">
                  <c:v>3</c:v>
                </c:pt>
                <c:pt idx="4">
                  <c:v>4</c:v>
                </c:pt>
              </c:strCache>
            </c:strRef>
          </c:cat>
          <c:val>
            <c:numRef>
              <c:f>Nutrient_BMI!$C$5:$C$10</c:f>
              <c:numCache>
                <c:formatCode>0.00</c:formatCode>
                <c:ptCount val="5"/>
                <c:pt idx="0">
                  <c:v>21.147731176326783</c:v>
                </c:pt>
                <c:pt idx="4">
                  <c:v>19.775366471749727</c:v>
                </c:pt>
              </c:numCache>
            </c:numRef>
          </c:val>
          <c:extLst>
            <c:ext xmlns:c16="http://schemas.microsoft.com/office/drawing/2014/chart" uri="{C3380CC4-5D6E-409C-BE32-E72D297353CC}">
              <c16:uniqueId val="{00000015-26E6-48AE-8F94-0EE77883BF65}"/>
            </c:ext>
          </c:extLst>
        </c:ser>
        <c:ser>
          <c:idx val="2"/>
          <c:order val="2"/>
          <c:tx>
            <c:strRef>
              <c:f>Nutrient_BMI!$D$3:$D$4</c:f>
              <c:strCache>
                <c:ptCount val="1"/>
                <c:pt idx="0">
                  <c:v>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7-26E6-48AE-8F94-0EE77883BF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9-26E6-48AE-8F94-0EE77883BF6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B-26E6-48AE-8F94-0EE77883BF6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D-26E6-48AE-8F94-0EE77883BF6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F-26E6-48AE-8F94-0EE77883BF65}"/>
              </c:ext>
            </c:extLst>
          </c:dPt>
          <c:cat>
            <c:strRef>
              <c:f>Nutrient_BMI!$A$5:$A$10</c:f>
              <c:strCache>
                <c:ptCount val="5"/>
                <c:pt idx="0">
                  <c:v>0</c:v>
                </c:pt>
                <c:pt idx="1">
                  <c:v>1</c:v>
                </c:pt>
                <c:pt idx="2">
                  <c:v>2</c:v>
                </c:pt>
                <c:pt idx="3">
                  <c:v>3</c:v>
                </c:pt>
                <c:pt idx="4">
                  <c:v>4</c:v>
                </c:pt>
              </c:strCache>
            </c:strRef>
          </c:cat>
          <c:val>
            <c:numRef>
              <c:f>Nutrient_BMI!$D$5:$D$10</c:f>
              <c:numCache>
                <c:formatCode>0.00</c:formatCode>
                <c:ptCount val="5"/>
                <c:pt idx="1">
                  <c:v>18.706628300517327</c:v>
                </c:pt>
                <c:pt idx="2">
                  <c:v>18.553628408784363</c:v>
                </c:pt>
                <c:pt idx="3">
                  <c:v>20.063638232449808</c:v>
                </c:pt>
              </c:numCache>
            </c:numRef>
          </c:val>
          <c:extLst>
            <c:ext xmlns:c16="http://schemas.microsoft.com/office/drawing/2014/chart" uri="{C3380CC4-5D6E-409C-BE32-E72D297353CC}">
              <c16:uniqueId val="{00000020-26E6-48AE-8F94-0EE77883BF65}"/>
            </c:ext>
          </c:extLst>
        </c:ser>
        <c:ser>
          <c:idx val="3"/>
          <c:order val="3"/>
          <c:tx>
            <c:strRef>
              <c:f>Nutrient_BMI!$E$3:$E$4</c:f>
              <c:strCache>
                <c:ptCount val="1"/>
                <c:pt idx="0">
                  <c:v>3</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Nutrient_BMI!$A$5:$A$10</c:f>
              <c:strCache>
                <c:ptCount val="5"/>
                <c:pt idx="0">
                  <c:v>0</c:v>
                </c:pt>
                <c:pt idx="1">
                  <c:v>1</c:v>
                </c:pt>
                <c:pt idx="2">
                  <c:v>2</c:v>
                </c:pt>
                <c:pt idx="3">
                  <c:v>3</c:v>
                </c:pt>
                <c:pt idx="4">
                  <c:v>4</c:v>
                </c:pt>
              </c:strCache>
            </c:strRef>
          </c:cat>
          <c:val>
            <c:numRef>
              <c:f>Nutrient_BMI!$E$5:$E$10</c:f>
              <c:numCache>
                <c:formatCode>0.00</c:formatCode>
                <c:ptCount val="5"/>
                <c:pt idx="3">
                  <c:v>19.105850849662808</c:v>
                </c:pt>
                <c:pt idx="4">
                  <c:v>19.570875087215928</c:v>
                </c:pt>
              </c:numCache>
            </c:numRef>
          </c:val>
          <c:extLst>
            <c:ext xmlns:c16="http://schemas.microsoft.com/office/drawing/2014/chart" uri="{C3380CC4-5D6E-409C-BE32-E72D297353CC}">
              <c16:uniqueId val="{0000003B-26E6-48AE-8F94-0EE77883BF65}"/>
            </c:ext>
          </c:extLst>
        </c:ser>
        <c:ser>
          <c:idx val="4"/>
          <c:order val="4"/>
          <c:tx>
            <c:strRef>
              <c:f>Nutrient_BMI!$F$3:$F$4</c:f>
              <c:strCache>
                <c:ptCount val="1"/>
                <c:pt idx="0">
                  <c:v>4</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Nutrient_BMI!$A$5:$A$10</c:f>
              <c:strCache>
                <c:ptCount val="5"/>
                <c:pt idx="0">
                  <c:v>0</c:v>
                </c:pt>
                <c:pt idx="1">
                  <c:v>1</c:v>
                </c:pt>
                <c:pt idx="2">
                  <c:v>2</c:v>
                </c:pt>
                <c:pt idx="3">
                  <c:v>3</c:v>
                </c:pt>
                <c:pt idx="4">
                  <c:v>4</c:v>
                </c:pt>
              </c:strCache>
            </c:strRef>
          </c:cat>
          <c:val>
            <c:numRef>
              <c:f>Nutrient_BMI!$F$5:$F$10</c:f>
              <c:numCache>
                <c:formatCode>0.00</c:formatCode>
                <c:ptCount val="5"/>
                <c:pt idx="1">
                  <c:v>18.541643890060385</c:v>
                </c:pt>
              </c:numCache>
            </c:numRef>
          </c:val>
          <c:extLst>
            <c:ext xmlns:c16="http://schemas.microsoft.com/office/drawing/2014/chart" uri="{C3380CC4-5D6E-409C-BE32-E72D297353CC}">
              <c16:uniqueId val="{0000003C-26E6-48AE-8F94-0EE77883BF6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[Child_Health_Report1.xlsx]Health_Status_Age_group!PivotTable2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46981627296588"/>
          <c:y val="0.16564596092155148"/>
          <c:w val="0.68701093613298336"/>
          <c:h val="0.65890128317293672"/>
        </c:manualLayout>
      </c:layout>
      <c:barChart>
        <c:barDir val="col"/>
        <c:grouping val="clustered"/>
        <c:varyColors val="0"/>
        <c:ser>
          <c:idx val="0"/>
          <c:order val="0"/>
          <c:tx>
            <c:strRef>
              <c:f>Health_Status_Age_group!$B$6:$B$7</c:f>
              <c:strCache>
                <c:ptCount val="1"/>
                <c:pt idx="0">
                  <c:v>Healthy Weight</c:v>
                </c:pt>
              </c:strCache>
            </c:strRef>
          </c:tx>
          <c:spPr>
            <a:solidFill>
              <a:schemeClr val="accent1"/>
            </a:solidFill>
            <a:ln>
              <a:noFill/>
            </a:ln>
            <a:effectLst/>
          </c:spPr>
          <c:invertIfNegative val="0"/>
          <c:cat>
            <c:strRef>
              <c:f>Health_Status_Age_group!$A$8:$A$11</c:f>
              <c:strCache>
                <c:ptCount val="3"/>
                <c:pt idx="0">
                  <c:v>24-36 Months</c:v>
                </c:pt>
                <c:pt idx="1">
                  <c:v>37-48 Months</c:v>
                </c:pt>
                <c:pt idx="2">
                  <c:v>49-60 Months</c:v>
                </c:pt>
              </c:strCache>
            </c:strRef>
          </c:cat>
          <c:val>
            <c:numRef>
              <c:f>Health_Status_Age_group!$B$8:$B$11</c:f>
              <c:numCache>
                <c:formatCode>General</c:formatCode>
                <c:ptCount val="3"/>
                <c:pt idx="0">
                  <c:v>3</c:v>
                </c:pt>
                <c:pt idx="1">
                  <c:v>5</c:v>
                </c:pt>
                <c:pt idx="2">
                  <c:v>5</c:v>
                </c:pt>
              </c:numCache>
            </c:numRef>
          </c:val>
          <c:extLst>
            <c:ext xmlns:c16="http://schemas.microsoft.com/office/drawing/2014/chart" uri="{C3380CC4-5D6E-409C-BE32-E72D297353CC}">
              <c16:uniqueId val="{00000000-2B6F-4527-802A-71C9BD9FBE30}"/>
            </c:ext>
          </c:extLst>
        </c:ser>
        <c:dLbls>
          <c:showLegendKey val="0"/>
          <c:showVal val="0"/>
          <c:showCatName val="0"/>
          <c:showSerName val="0"/>
          <c:showPercent val="0"/>
          <c:showBubbleSize val="0"/>
        </c:dLbls>
        <c:gapWidth val="219"/>
        <c:overlap val="-27"/>
        <c:axId val="1309433744"/>
        <c:axId val="1309433264"/>
      </c:barChart>
      <c:catAx>
        <c:axId val="130943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433264"/>
        <c:crosses val="autoZero"/>
        <c:auto val="1"/>
        <c:lblAlgn val="ctr"/>
        <c:lblOffset val="100"/>
        <c:noMultiLvlLbl val="0"/>
      </c:catAx>
      <c:valAx>
        <c:axId val="1309433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43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99060</xdr:colOff>
      <xdr:row>7</xdr:row>
      <xdr:rowOff>179070</xdr:rowOff>
    </xdr:from>
    <xdr:to>
      <xdr:col>11</xdr:col>
      <xdr:colOff>403860</xdr:colOff>
      <xdr:row>22</xdr:row>
      <xdr:rowOff>179070</xdr:rowOff>
    </xdr:to>
    <xdr:graphicFrame macro="">
      <xdr:nvGraphicFramePr>
        <xdr:cNvPr id="2" name="Chart 1">
          <a:extLst>
            <a:ext uri="{FF2B5EF4-FFF2-40B4-BE49-F238E27FC236}">
              <a16:creationId xmlns:a16="http://schemas.microsoft.com/office/drawing/2014/main" id="{5D76AAF4-BDC4-041B-C965-327CFB7186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83820</xdr:colOff>
      <xdr:row>10</xdr:row>
      <xdr:rowOff>167641</xdr:rowOff>
    </xdr:from>
    <xdr:to>
      <xdr:col>7</xdr:col>
      <xdr:colOff>45720</xdr:colOff>
      <xdr:row>20</xdr:row>
      <xdr:rowOff>129541</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E4081BE6-9FD4-D9EA-E713-F2D0DA6F1C7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866900" y="2011681"/>
              <a:ext cx="1828800" cy="1790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342900</xdr:colOff>
      <xdr:row>5</xdr:row>
      <xdr:rowOff>80010</xdr:rowOff>
    </xdr:from>
    <xdr:to>
      <xdr:col>11</xdr:col>
      <xdr:colOff>739140</xdr:colOff>
      <xdr:row>20</xdr:row>
      <xdr:rowOff>80010</xdr:rowOff>
    </xdr:to>
    <xdr:graphicFrame macro="">
      <xdr:nvGraphicFramePr>
        <xdr:cNvPr id="3" name="Chart 2">
          <a:extLst>
            <a:ext uri="{FF2B5EF4-FFF2-40B4-BE49-F238E27FC236}">
              <a16:creationId xmlns:a16="http://schemas.microsoft.com/office/drawing/2014/main" id="{0F646926-DE6A-471C-A372-83896A5C7B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952500</xdr:colOff>
      <xdr:row>7</xdr:row>
      <xdr:rowOff>106680</xdr:rowOff>
    </xdr:from>
    <xdr:to>
      <xdr:col>10</xdr:col>
      <xdr:colOff>190500</xdr:colOff>
      <xdr:row>21</xdr:row>
      <xdr:rowOff>175260</xdr:rowOff>
    </xdr:to>
    <xdr:graphicFrame macro="">
      <xdr:nvGraphicFramePr>
        <xdr:cNvPr id="2" name="Chart 1">
          <a:extLst>
            <a:ext uri="{FF2B5EF4-FFF2-40B4-BE49-F238E27FC236}">
              <a16:creationId xmlns:a16="http://schemas.microsoft.com/office/drawing/2014/main" id="{7A8C9B9A-EC40-E1A3-8179-F02152FB16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15</xdr:col>
      <xdr:colOff>182880</xdr:colOff>
      <xdr:row>17</xdr:row>
      <xdr:rowOff>7620</xdr:rowOff>
    </xdr:from>
    <xdr:to>
      <xdr:col>35</xdr:col>
      <xdr:colOff>640080</xdr:colOff>
      <xdr:row>31</xdr:row>
      <xdr:rowOff>76200</xdr:rowOff>
    </xdr:to>
    <xdr:graphicFrame macro="">
      <xdr:nvGraphicFramePr>
        <xdr:cNvPr id="2" name="Chart 1">
          <a:extLst>
            <a:ext uri="{FF2B5EF4-FFF2-40B4-BE49-F238E27FC236}">
              <a16:creationId xmlns:a16="http://schemas.microsoft.com/office/drawing/2014/main" id="{5577DE6D-30FF-4183-8536-E5FED019FC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792480</xdr:colOff>
      <xdr:row>16</xdr:row>
      <xdr:rowOff>114300</xdr:rowOff>
    </xdr:from>
    <xdr:to>
      <xdr:col>14</xdr:col>
      <xdr:colOff>190500</xdr:colOff>
      <xdr:row>31</xdr:row>
      <xdr:rowOff>114300</xdr:rowOff>
    </xdr:to>
    <xdr:graphicFrame macro="">
      <xdr:nvGraphicFramePr>
        <xdr:cNvPr id="3" name="Chart 2">
          <a:extLst>
            <a:ext uri="{FF2B5EF4-FFF2-40B4-BE49-F238E27FC236}">
              <a16:creationId xmlns:a16="http://schemas.microsoft.com/office/drawing/2014/main" id="{37394D6B-6A7C-4E80-AB7F-F724528F2A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198120</xdr:colOff>
      <xdr:row>0</xdr:row>
      <xdr:rowOff>152400</xdr:rowOff>
    </xdr:from>
    <xdr:to>
      <xdr:col>35</xdr:col>
      <xdr:colOff>655320</xdr:colOff>
      <xdr:row>15</xdr:row>
      <xdr:rowOff>152400</xdr:rowOff>
    </xdr:to>
    <xdr:graphicFrame macro="">
      <xdr:nvGraphicFramePr>
        <xdr:cNvPr id="4" name="Chart 3">
          <a:extLst>
            <a:ext uri="{FF2B5EF4-FFF2-40B4-BE49-F238E27FC236}">
              <a16:creationId xmlns:a16="http://schemas.microsoft.com/office/drawing/2014/main" id="{E4506D8D-C7B7-43B9-A6A4-8636F5BCCA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15240</xdr:colOff>
      <xdr:row>3</xdr:row>
      <xdr:rowOff>106681</xdr:rowOff>
    </xdr:from>
    <xdr:to>
      <xdr:col>12</xdr:col>
      <xdr:colOff>198120</xdr:colOff>
      <xdr:row>8</xdr:row>
      <xdr:rowOff>160021</xdr:rowOff>
    </xdr:to>
    <mc:AlternateContent xmlns:mc="http://schemas.openxmlformats.org/markup-compatibility/2006">
      <mc:Choice xmlns:a14="http://schemas.microsoft.com/office/drawing/2010/main" Requires="a14">
        <xdr:graphicFrame macro="">
          <xdr:nvGraphicFramePr>
            <xdr:cNvPr id="9" name="Gender">
              <a:extLst>
                <a:ext uri="{FF2B5EF4-FFF2-40B4-BE49-F238E27FC236}">
                  <a16:creationId xmlns:a16="http://schemas.microsoft.com/office/drawing/2014/main" id="{98E477CA-1130-B681-2051-2372425032C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179320" y="655321"/>
              <a:ext cx="1828800" cy="967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83820</xdr:colOff>
      <xdr:row>9</xdr:row>
      <xdr:rowOff>83821</xdr:rowOff>
    </xdr:from>
    <xdr:to>
      <xdr:col>13</xdr:col>
      <xdr:colOff>60960</xdr:colOff>
      <xdr:row>14</xdr:row>
      <xdr:rowOff>167641</xdr:rowOff>
    </xdr:to>
    <mc:AlternateContent xmlns:mc="http://schemas.openxmlformats.org/markup-compatibility/2006">
      <mc:Choice xmlns:a14="http://schemas.microsoft.com/office/drawing/2010/main" Requires="a14">
        <xdr:graphicFrame macro="">
          <xdr:nvGraphicFramePr>
            <xdr:cNvPr id="11" name="Health_Status">
              <a:extLst>
                <a:ext uri="{FF2B5EF4-FFF2-40B4-BE49-F238E27FC236}">
                  <a16:creationId xmlns:a16="http://schemas.microsoft.com/office/drawing/2014/main" id="{71BB95F4-6A68-733A-47CB-0F33203D0CBA}"/>
                </a:ext>
              </a:extLst>
            </xdr:cNvPr>
            <xdr:cNvGraphicFramePr/>
          </xdr:nvGraphicFramePr>
          <xdr:xfrm>
            <a:off x="0" y="0"/>
            <a:ext cx="0" cy="0"/>
          </xdr:xfrm>
          <a:graphic>
            <a:graphicData uri="http://schemas.microsoft.com/office/drawing/2010/slicer">
              <sle:slicer xmlns:sle="http://schemas.microsoft.com/office/drawing/2010/slicer" name="Health_Status"/>
            </a:graphicData>
          </a:graphic>
        </xdr:graphicFrame>
      </mc:Choice>
      <mc:Fallback>
        <xdr:sp macro="" textlink="">
          <xdr:nvSpPr>
            <xdr:cNvPr id="0" name=""/>
            <xdr:cNvSpPr>
              <a:spLocks noTextEdit="1"/>
            </xdr:cNvSpPr>
          </xdr:nvSpPr>
          <xdr:spPr>
            <a:xfrm>
              <a:off x="2247900" y="1729741"/>
              <a:ext cx="1828800" cy="998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refreshedDate="45913.953468981483" createdVersion="8" refreshedVersion="8" minRefreshableVersion="3" recordCount="100" xr:uid="{972A33E0-4030-4FCC-8E4F-39F9EDCC19CE}">
  <cacheSource type="worksheet">
    <worksheetSource name="Child_Health_data"/>
  </cacheSource>
  <cacheFields count="14">
    <cacheField name="ChildID" numFmtId="0">
      <sharedItems count="100">
        <s v="C001"/>
        <s v="C002"/>
        <s v="C003"/>
        <s v="C004"/>
        <s v="C005"/>
        <s v="C006"/>
        <s v="C007"/>
        <s v="C008"/>
        <s v="C009"/>
        <s v="C010"/>
        <s v="C011"/>
        <s v="C012"/>
        <s v="C013"/>
        <s v="C014"/>
        <s v="C015"/>
        <s v="C016"/>
        <s v="C017"/>
        <s v="C018"/>
        <s v="C019"/>
        <s v="C020"/>
        <s v="C021"/>
        <s v="C022"/>
        <s v="C023"/>
        <s v="C024"/>
        <s v="C025"/>
        <s v="C026"/>
        <s v="C027"/>
        <s v="C028"/>
        <s v="C029"/>
        <s v="C030"/>
        <s v="C031"/>
        <s v="C032"/>
        <s v="C033"/>
        <s v="C034"/>
        <s v="C035"/>
        <s v="C036"/>
        <s v="C037"/>
        <s v="C038"/>
        <s v="C039"/>
        <s v="C040"/>
        <s v="C041"/>
        <s v="C042"/>
        <s v="C043"/>
        <s v="C044"/>
        <s v="C045"/>
        <s v="C046"/>
        <s v="C047"/>
        <s v="C048"/>
        <s v="C049"/>
        <s v="C050"/>
        <s v="C051"/>
        <s v="C052"/>
        <s v="C053"/>
        <s v="C054"/>
        <s v="C055"/>
        <s v="C056"/>
        <s v="C057"/>
        <s v="C058"/>
        <s v="C059"/>
        <s v="C060"/>
        <s v="C061"/>
        <s v="C062"/>
        <s v="C063"/>
        <s v="C064"/>
        <s v="C065"/>
        <s v="C066"/>
        <s v="C067"/>
        <s v="C068"/>
        <s v="C069"/>
        <s v="C070"/>
        <s v="C071"/>
        <s v="C072"/>
        <s v="C073"/>
        <s v="C074"/>
        <s v="C075"/>
        <s v="C076"/>
        <s v="C077"/>
        <s v="C078"/>
        <s v="C079"/>
        <s v="C080"/>
        <s v="C081"/>
        <s v="C082"/>
        <s v="C083"/>
        <s v="C084"/>
        <s v="C085"/>
        <s v="C086"/>
        <s v="C087"/>
        <s v="C088"/>
        <s v="C089"/>
        <s v="C090"/>
        <s v="C091"/>
        <s v="C092"/>
        <s v="C093"/>
        <s v="C094"/>
        <s v="C095"/>
        <s v="C096"/>
        <s v="C097"/>
        <s v="C098"/>
        <s v="C099"/>
        <s v="C100"/>
      </sharedItems>
    </cacheField>
    <cacheField name="Age_Months" numFmtId="0">
      <sharedItems containsSemiMixedTypes="0" containsString="0" containsNumber="1" containsInteger="1" minValue="25" maxValue="59"/>
    </cacheField>
    <cacheField name="Gender" numFmtId="0">
      <sharedItems count="2">
        <s v="Female"/>
        <s v="Male"/>
      </sharedItems>
    </cacheField>
    <cacheField name="Height_cm" numFmtId="0">
      <sharedItems containsSemiMixedTypes="0" containsString="0" containsNumber="1" minValue="88.93" maxValue="115.19"/>
    </cacheField>
    <cacheField name="Weight_kg" numFmtId="0">
      <sharedItems containsSemiMixedTypes="0" containsString="0" containsNumber="1" minValue="11.75" maxValue="25.26"/>
    </cacheField>
    <cacheField name="Daily_Fruit_Servings" numFmtId="0">
      <sharedItems containsSemiMixedTypes="0" containsString="0" containsNumber="1" containsInteger="1" minValue="0" maxValue="4" count="5">
        <n v="1"/>
        <n v="0"/>
        <n v="3"/>
        <n v="2"/>
        <n v="4"/>
      </sharedItems>
    </cacheField>
    <cacheField name="Daily_Veggie_Servings" numFmtId="0">
      <sharedItems containsSemiMixedTypes="0" containsString="0" containsNumber="1" containsInteger="1" minValue="0" maxValue="4" count="5">
        <n v="2"/>
        <n v="1"/>
        <n v="3"/>
        <n v="0"/>
        <n v="4"/>
      </sharedItems>
    </cacheField>
    <cacheField name="Daily_Sugar_Drinks" numFmtId="0">
      <sharedItems containsSemiMixedTypes="0" containsString="0" containsNumber="1" containsInteger="1" minValue="0" maxValue="3"/>
    </cacheField>
    <cacheField name="ScreenTime_Hours" numFmtId="0">
      <sharedItems containsSemiMixedTypes="0" containsString="0" containsNumber="1" minValue="0.5" maxValue="3.8" count="27">
        <n v="1.2"/>
        <n v="1.4"/>
        <n v="0.6"/>
        <n v="1.5"/>
        <n v="0.9"/>
        <n v="2.8"/>
        <n v="1.3"/>
        <n v="0.8"/>
        <n v="1"/>
        <n v="1.6"/>
        <n v="2.1"/>
        <n v="3.1"/>
        <n v="2"/>
        <n v="1.9"/>
        <n v="2.9"/>
        <n v="2.2999999999999998"/>
        <n v="0.7"/>
        <n v="1.7"/>
        <n v="3.2"/>
        <n v="0.5"/>
        <n v="1.1000000000000001"/>
        <n v="2.6"/>
        <n v="1.8"/>
        <n v="2.2000000000000002"/>
        <n v="3.8"/>
        <n v="3"/>
        <n v="2.5"/>
      </sharedItems>
    </cacheField>
    <cacheField name="Region" numFmtId="0">
      <sharedItems count="5">
        <s v="South"/>
        <s v="Central"/>
        <s v="East"/>
        <s v="North"/>
        <s v="West"/>
      </sharedItems>
    </cacheField>
    <cacheField name="BMI" numFmtId="0">
      <sharedItems containsSemiMixedTypes="0" containsString="0" containsNumber="1" minValue="11.23198275256877" maxValue="21.36231277340449" count="100">
        <n v="15.90614369846883"/>
        <n v="16.512431120446177"/>
        <n v="19.185127564907393"/>
        <n v="19.75238446372795"/>
        <n v="14.992349216790304"/>
        <n v="18.189813900132215"/>
        <n v="17.67025840775398"/>
        <n v="18.553628408784363"/>
        <n v="19.589420799631078"/>
        <n v="14.337779767724934"/>
        <n v="14.572440546466519"/>
        <n v="17.950419185130364"/>
        <n v="16.401367255945466"/>
        <n v="17.108724180222072"/>
        <n v="17.652433135313405"/>
        <n v="17.059205462973896"/>
        <n v="19.92193117497148"/>
        <n v="15.801108000799067"/>
        <n v="17.264563375422682"/>
        <n v="16.056524938447225"/>
        <n v="16.423256883921791"/>
        <n v="17.610292772445963"/>
        <n v="18.053148301698982"/>
        <n v="13.082090287312587"/>
        <n v="16.548488389191526"/>
        <n v="16.821669829165565"/>
        <n v="18.912896252767929"/>
        <n v="11.23198275256877"/>
        <n v="15.637452318001349"/>
        <n v="19.466193791459283"/>
        <n v="18.203288786295403"/>
        <n v="13.618099737124188"/>
        <n v="17.26538862847617"/>
        <n v="15.304371025015923"/>
        <n v="16.411348608910586"/>
        <n v="18.706628300517327"/>
        <n v="12.742738810730817"/>
        <n v="19.026574134418222"/>
        <n v="15.839176320537135"/>
        <n v="17.927675301525785"/>
        <n v="16.069720480391116"/>
        <n v="19.727374806364303"/>
        <n v="16.889044889405064"/>
        <n v="16.309099267089127"/>
        <n v="15.058048908803379"/>
        <n v="17.740865378038603"/>
        <n v="17.89420860909388"/>
        <n v="16.27511447065158"/>
        <n v="13.708060833090812"/>
        <n v="14.190800401461026"/>
        <n v="15.864875656303504"/>
        <n v="17.104134635526798"/>
        <n v="19.570875087215928"/>
        <n v="17.983410512341237"/>
        <n v="13.744544356487417"/>
        <n v="18.166443980296357"/>
        <n v="16.765898919707524"/>
        <n v="17.912132789452027"/>
        <n v="20.023541521230683"/>
        <n v="19.067215363511657"/>
        <n v="18.462404679483562"/>
        <n v="20.630676133633052"/>
        <n v="18.26218788176115"/>
        <n v="15.930649869244029"/>
        <n v="18.041335784504604"/>
        <n v="19.775366471749727"/>
        <n v="17.188983711262917"/>
        <n v="14.092887263873765"/>
        <n v="20.483024296966988"/>
        <n v="12.656431304061822"/>
        <n v="16.692896572247317"/>
        <n v="18.903242860743426"/>
        <n v="20.656995702972939"/>
        <n v="19.59905418252098"/>
        <n v="18.130769749107163"/>
        <n v="15.500923261601326"/>
        <n v="15.886491841187462"/>
        <n v="16.920666215969256"/>
        <n v="21.36231277340449"/>
        <n v="17.699292730459444"/>
        <n v="14.273984861929826"/>
        <n v="17.876437608609475"/>
        <n v="14.159684100694896"/>
        <n v="13.817573013462967"/>
        <n v="15.645800657682841"/>
        <n v="16.43701290971967"/>
        <n v="21.147731176326783"/>
        <n v="14.983791760933824"/>
        <n v="15.877277353299789"/>
        <n v="18.29740792193558"/>
        <n v="16.445281479979926"/>
        <n v="19.611831543124822"/>
        <n v="18.033368785198682"/>
        <n v="16.500272071630885"/>
        <n v="16.47325214515973"/>
        <n v="18.541643890060385"/>
        <n v="16.446228448404973"/>
        <n v="17.054436677671966"/>
        <n v="15.264198789050129"/>
        <n v="18.664925428298883"/>
      </sharedItems>
    </cacheField>
    <cacheField name="Health_Status" numFmtId="0">
      <sharedItems count="2">
        <s v="Underweight"/>
        <s v="Healthy Weight"/>
      </sharedItems>
    </cacheField>
    <cacheField name="Age_Group" numFmtId="0">
      <sharedItems count="3">
        <s v="37-48 Months"/>
        <s v="24-36 Months"/>
        <s v="49-60 Months"/>
      </sharedItems>
    </cacheField>
    <cacheField name="Field1" numFmtId="0" formula=" 0" databaseField="0"/>
  </cacheFields>
  <extLst>
    <ext xmlns:x14="http://schemas.microsoft.com/office/spreadsheetml/2009/9/main" uri="{725AE2AE-9491-48be-B2B4-4EB974FC3084}">
      <x14:pivotCacheDefinition pivotCacheId="11695191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n v="47"/>
    <x v="0"/>
    <n v="104.41"/>
    <n v="17.34"/>
    <x v="0"/>
    <x v="0"/>
    <n v="3"/>
    <x v="0"/>
    <x v="0"/>
    <x v="0"/>
    <x v="0"/>
    <x v="0"/>
  </r>
  <r>
    <x v="1"/>
    <n v="34"/>
    <x v="0"/>
    <n v="99.08"/>
    <n v="16.21"/>
    <x v="1"/>
    <x v="1"/>
    <n v="1"/>
    <x v="1"/>
    <x v="1"/>
    <x v="1"/>
    <x v="0"/>
    <x v="1"/>
  </r>
  <r>
    <x v="2"/>
    <n v="35"/>
    <x v="0"/>
    <n v="94.96"/>
    <n v="17.3"/>
    <x v="2"/>
    <x v="2"/>
    <n v="2"/>
    <x v="2"/>
    <x v="1"/>
    <x v="2"/>
    <x v="1"/>
    <x v="1"/>
  </r>
  <r>
    <x v="3"/>
    <n v="39"/>
    <x v="0"/>
    <n v="100.65"/>
    <n v="20.010000000000002"/>
    <x v="3"/>
    <x v="3"/>
    <n v="1"/>
    <x v="3"/>
    <x v="1"/>
    <x v="3"/>
    <x v="1"/>
    <x v="0"/>
  </r>
  <r>
    <x v="4"/>
    <n v="26"/>
    <x v="0"/>
    <n v="90.06"/>
    <n v="12.16"/>
    <x v="1"/>
    <x v="1"/>
    <n v="0"/>
    <x v="4"/>
    <x v="0"/>
    <x v="4"/>
    <x v="0"/>
    <x v="1"/>
  </r>
  <r>
    <x v="5"/>
    <n v="51"/>
    <x v="1"/>
    <n v="108.82"/>
    <n v="21.54"/>
    <x v="1"/>
    <x v="1"/>
    <n v="1"/>
    <x v="4"/>
    <x v="2"/>
    <x v="5"/>
    <x v="0"/>
    <x v="2"/>
  </r>
  <r>
    <x v="6"/>
    <n v="52"/>
    <x v="1"/>
    <n v="110.28"/>
    <n v="21.49"/>
    <x v="4"/>
    <x v="3"/>
    <n v="2"/>
    <x v="5"/>
    <x v="0"/>
    <x v="6"/>
    <x v="0"/>
    <x v="2"/>
  </r>
  <r>
    <x v="7"/>
    <n v="52"/>
    <x v="0"/>
    <n v="102.65"/>
    <n v="19.55"/>
    <x v="3"/>
    <x v="0"/>
    <n v="1"/>
    <x v="6"/>
    <x v="1"/>
    <x v="7"/>
    <x v="1"/>
    <x v="2"/>
  </r>
  <r>
    <x v="8"/>
    <n v="28"/>
    <x v="1"/>
    <n v="91.47"/>
    <n v="16.39"/>
    <x v="2"/>
    <x v="0"/>
    <n v="3"/>
    <x v="7"/>
    <x v="3"/>
    <x v="8"/>
    <x v="1"/>
    <x v="1"/>
  </r>
  <r>
    <x v="9"/>
    <n v="44"/>
    <x v="0"/>
    <n v="111.89"/>
    <n v="17.95"/>
    <x v="0"/>
    <x v="2"/>
    <n v="0"/>
    <x v="7"/>
    <x v="1"/>
    <x v="9"/>
    <x v="0"/>
    <x v="0"/>
  </r>
  <r>
    <x v="10"/>
    <n v="25"/>
    <x v="1"/>
    <n v="96.25"/>
    <n v="13.5"/>
    <x v="2"/>
    <x v="4"/>
    <n v="0"/>
    <x v="2"/>
    <x v="4"/>
    <x v="10"/>
    <x v="0"/>
    <x v="1"/>
  </r>
  <r>
    <x v="11"/>
    <n v="32"/>
    <x v="0"/>
    <n v="96.02"/>
    <n v="16.55"/>
    <x v="3"/>
    <x v="3"/>
    <n v="2"/>
    <x v="8"/>
    <x v="3"/>
    <x v="11"/>
    <x v="0"/>
    <x v="1"/>
  </r>
  <r>
    <x v="12"/>
    <n v="34"/>
    <x v="1"/>
    <n v="97.37"/>
    <n v="15.55"/>
    <x v="1"/>
    <x v="1"/>
    <n v="2"/>
    <x v="6"/>
    <x v="2"/>
    <x v="12"/>
    <x v="0"/>
    <x v="1"/>
  </r>
  <r>
    <x v="13"/>
    <n v="49"/>
    <x v="1"/>
    <n v="108.39"/>
    <n v="20.100000000000001"/>
    <x v="1"/>
    <x v="0"/>
    <n v="3"/>
    <x v="2"/>
    <x v="2"/>
    <x v="13"/>
    <x v="0"/>
    <x v="2"/>
  </r>
  <r>
    <x v="14"/>
    <n v="25"/>
    <x v="1"/>
    <n v="92.58"/>
    <n v="15.13"/>
    <x v="3"/>
    <x v="0"/>
    <n v="2"/>
    <x v="9"/>
    <x v="1"/>
    <x v="14"/>
    <x v="0"/>
    <x v="1"/>
  </r>
  <r>
    <x v="15"/>
    <n v="38"/>
    <x v="1"/>
    <n v="99.65"/>
    <n v="16.940000000000001"/>
    <x v="0"/>
    <x v="2"/>
    <n v="3"/>
    <x v="10"/>
    <x v="1"/>
    <x v="15"/>
    <x v="0"/>
    <x v="0"/>
  </r>
  <r>
    <x v="16"/>
    <n v="38"/>
    <x v="0"/>
    <n v="98.91"/>
    <n v="19.489999999999998"/>
    <x v="1"/>
    <x v="3"/>
    <n v="3"/>
    <x v="11"/>
    <x v="1"/>
    <x v="16"/>
    <x v="1"/>
    <x v="0"/>
  </r>
  <r>
    <x v="17"/>
    <n v="25"/>
    <x v="0"/>
    <n v="96.42"/>
    <n v="14.69"/>
    <x v="0"/>
    <x v="2"/>
    <n v="2"/>
    <x v="0"/>
    <x v="3"/>
    <x v="17"/>
    <x v="0"/>
    <x v="1"/>
  </r>
  <r>
    <x v="18"/>
    <n v="57"/>
    <x v="0"/>
    <n v="109.26"/>
    <n v="20.61"/>
    <x v="2"/>
    <x v="0"/>
    <n v="1"/>
    <x v="12"/>
    <x v="2"/>
    <x v="18"/>
    <x v="0"/>
    <x v="2"/>
  </r>
  <r>
    <x v="19"/>
    <n v="34"/>
    <x v="1"/>
    <n v="98.22"/>
    <n v="15.49"/>
    <x v="0"/>
    <x v="0"/>
    <n v="0"/>
    <x v="7"/>
    <x v="1"/>
    <x v="19"/>
    <x v="0"/>
    <x v="1"/>
  </r>
  <r>
    <x v="20"/>
    <n v="35"/>
    <x v="0"/>
    <n v="101.02"/>
    <n v="16.760000000000002"/>
    <x v="2"/>
    <x v="0"/>
    <n v="2"/>
    <x v="13"/>
    <x v="0"/>
    <x v="20"/>
    <x v="0"/>
    <x v="1"/>
  </r>
  <r>
    <x v="21"/>
    <n v="56"/>
    <x v="1"/>
    <n v="111.44"/>
    <n v="21.87"/>
    <x v="4"/>
    <x v="1"/>
    <n v="2"/>
    <x v="13"/>
    <x v="2"/>
    <x v="21"/>
    <x v="0"/>
    <x v="2"/>
  </r>
  <r>
    <x v="22"/>
    <n v="46"/>
    <x v="1"/>
    <n v="103.85"/>
    <n v="19.47"/>
    <x v="3"/>
    <x v="4"/>
    <n v="3"/>
    <x v="14"/>
    <x v="2"/>
    <x v="22"/>
    <x v="0"/>
    <x v="0"/>
  </r>
  <r>
    <x v="23"/>
    <n v="35"/>
    <x v="0"/>
    <n v="102.67"/>
    <n v="13.79"/>
    <x v="4"/>
    <x v="1"/>
    <n v="1"/>
    <x v="12"/>
    <x v="1"/>
    <x v="23"/>
    <x v="0"/>
    <x v="1"/>
  </r>
  <r>
    <x v="24"/>
    <n v="52"/>
    <x v="1"/>
    <n v="107.91"/>
    <n v="19.27"/>
    <x v="4"/>
    <x v="3"/>
    <n v="0"/>
    <x v="7"/>
    <x v="2"/>
    <x v="24"/>
    <x v="0"/>
    <x v="2"/>
  </r>
  <r>
    <x v="25"/>
    <n v="30"/>
    <x v="0"/>
    <n v="96.67"/>
    <n v="15.72"/>
    <x v="2"/>
    <x v="1"/>
    <n v="2"/>
    <x v="0"/>
    <x v="3"/>
    <x v="25"/>
    <x v="0"/>
    <x v="1"/>
  </r>
  <r>
    <x v="26"/>
    <n v="35"/>
    <x v="1"/>
    <n v="101.41"/>
    <n v="19.45"/>
    <x v="1"/>
    <x v="4"/>
    <n v="2"/>
    <x v="13"/>
    <x v="0"/>
    <x v="26"/>
    <x v="1"/>
    <x v="1"/>
  </r>
  <r>
    <x v="27"/>
    <n v="32"/>
    <x v="0"/>
    <n v="102.28"/>
    <n v="11.75"/>
    <x v="3"/>
    <x v="1"/>
    <n v="1"/>
    <x v="6"/>
    <x v="2"/>
    <x v="27"/>
    <x v="0"/>
    <x v="1"/>
  </r>
  <r>
    <x v="28"/>
    <n v="46"/>
    <x v="1"/>
    <n v="105.06"/>
    <n v="17.260000000000002"/>
    <x v="4"/>
    <x v="1"/>
    <n v="2"/>
    <x v="7"/>
    <x v="1"/>
    <x v="28"/>
    <x v="0"/>
    <x v="0"/>
  </r>
  <r>
    <x v="29"/>
    <n v="43"/>
    <x v="1"/>
    <n v="103.22"/>
    <n v="20.74"/>
    <x v="3"/>
    <x v="0"/>
    <n v="3"/>
    <x v="10"/>
    <x v="0"/>
    <x v="29"/>
    <x v="1"/>
    <x v="0"/>
  </r>
  <r>
    <x v="30"/>
    <n v="46"/>
    <x v="0"/>
    <n v="105.42"/>
    <n v="20.23"/>
    <x v="4"/>
    <x v="3"/>
    <n v="2"/>
    <x v="15"/>
    <x v="4"/>
    <x v="30"/>
    <x v="0"/>
    <x v="0"/>
  </r>
  <r>
    <x v="31"/>
    <n v="32"/>
    <x v="1"/>
    <n v="97.29"/>
    <n v="12.89"/>
    <x v="4"/>
    <x v="0"/>
    <n v="2"/>
    <x v="6"/>
    <x v="1"/>
    <x v="31"/>
    <x v="0"/>
    <x v="1"/>
  </r>
  <r>
    <x v="32"/>
    <n v="46"/>
    <x v="1"/>
    <n v="106.22"/>
    <n v="19.48"/>
    <x v="4"/>
    <x v="2"/>
    <n v="0"/>
    <x v="16"/>
    <x v="0"/>
    <x v="32"/>
    <x v="0"/>
    <x v="0"/>
  </r>
  <r>
    <x v="33"/>
    <n v="56"/>
    <x v="0"/>
    <n v="114.63"/>
    <n v="20.11"/>
    <x v="3"/>
    <x v="1"/>
    <n v="0"/>
    <x v="7"/>
    <x v="4"/>
    <x v="33"/>
    <x v="0"/>
    <x v="2"/>
  </r>
  <r>
    <x v="34"/>
    <n v="30"/>
    <x v="0"/>
    <n v="93.15"/>
    <n v="14.24"/>
    <x v="0"/>
    <x v="1"/>
    <n v="2"/>
    <x v="6"/>
    <x v="1"/>
    <x v="34"/>
    <x v="0"/>
    <x v="1"/>
  </r>
  <r>
    <x v="35"/>
    <n v="44"/>
    <x v="0"/>
    <n v="102.36"/>
    <n v="19.600000000000001"/>
    <x v="0"/>
    <x v="0"/>
    <n v="0"/>
    <x v="4"/>
    <x v="4"/>
    <x v="35"/>
    <x v="1"/>
    <x v="0"/>
  </r>
  <r>
    <x v="36"/>
    <n v="43"/>
    <x v="0"/>
    <n v="105.34"/>
    <n v="14.14"/>
    <x v="4"/>
    <x v="2"/>
    <n v="0"/>
    <x v="7"/>
    <x v="2"/>
    <x v="36"/>
    <x v="0"/>
    <x v="0"/>
  </r>
  <r>
    <x v="37"/>
    <n v="31"/>
    <x v="0"/>
    <n v="96.26"/>
    <n v="17.63"/>
    <x v="2"/>
    <x v="2"/>
    <n v="2"/>
    <x v="17"/>
    <x v="2"/>
    <x v="37"/>
    <x v="1"/>
    <x v="1"/>
  </r>
  <r>
    <x v="38"/>
    <n v="28"/>
    <x v="1"/>
    <n v="97.25"/>
    <n v="14.98"/>
    <x v="2"/>
    <x v="4"/>
    <n v="3"/>
    <x v="18"/>
    <x v="1"/>
    <x v="38"/>
    <x v="0"/>
    <x v="1"/>
  </r>
  <r>
    <x v="39"/>
    <n v="48"/>
    <x v="1"/>
    <n v="108.23"/>
    <n v="21"/>
    <x v="2"/>
    <x v="4"/>
    <n v="0"/>
    <x v="2"/>
    <x v="1"/>
    <x v="39"/>
    <x v="0"/>
    <x v="0"/>
  </r>
  <r>
    <x v="40"/>
    <n v="27"/>
    <x v="1"/>
    <n v="97"/>
    <n v="15.12"/>
    <x v="4"/>
    <x v="3"/>
    <n v="1"/>
    <x v="17"/>
    <x v="3"/>
    <x v="40"/>
    <x v="0"/>
    <x v="1"/>
  </r>
  <r>
    <x v="41"/>
    <n v="45"/>
    <x v="1"/>
    <n v="107.27"/>
    <n v="22.7"/>
    <x v="4"/>
    <x v="3"/>
    <n v="0"/>
    <x v="7"/>
    <x v="0"/>
    <x v="41"/>
    <x v="1"/>
    <x v="0"/>
  </r>
  <r>
    <x v="42"/>
    <n v="54"/>
    <x v="1"/>
    <n v="112.46"/>
    <n v="21.36"/>
    <x v="3"/>
    <x v="3"/>
    <n v="1"/>
    <x v="8"/>
    <x v="1"/>
    <x v="42"/>
    <x v="0"/>
    <x v="2"/>
  </r>
  <r>
    <x v="43"/>
    <n v="40"/>
    <x v="1"/>
    <n v="103.32"/>
    <n v="17.41"/>
    <x v="0"/>
    <x v="3"/>
    <n v="2"/>
    <x v="12"/>
    <x v="2"/>
    <x v="43"/>
    <x v="0"/>
    <x v="0"/>
  </r>
  <r>
    <x v="44"/>
    <n v="52"/>
    <x v="0"/>
    <n v="107.31"/>
    <n v="17.34"/>
    <x v="0"/>
    <x v="2"/>
    <n v="0"/>
    <x v="19"/>
    <x v="3"/>
    <x v="44"/>
    <x v="0"/>
    <x v="2"/>
  </r>
  <r>
    <x v="45"/>
    <n v="34"/>
    <x v="1"/>
    <n v="99.12"/>
    <n v="17.43"/>
    <x v="2"/>
    <x v="4"/>
    <n v="3"/>
    <x v="9"/>
    <x v="0"/>
    <x v="45"/>
    <x v="0"/>
    <x v="1"/>
  </r>
  <r>
    <x v="46"/>
    <n v="27"/>
    <x v="1"/>
    <n v="93.16"/>
    <n v="15.53"/>
    <x v="3"/>
    <x v="0"/>
    <n v="0"/>
    <x v="7"/>
    <x v="1"/>
    <x v="46"/>
    <x v="0"/>
    <x v="1"/>
  </r>
  <r>
    <x v="47"/>
    <n v="55"/>
    <x v="1"/>
    <n v="111.49"/>
    <n v="20.23"/>
    <x v="0"/>
    <x v="3"/>
    <n v="1"/>
    <x v="9"/>
    <x v="3"/>
    <x v="47"/>
    <x v="0"/>
    <x v="2"/>
  </r>
  <r>
    <x v="48"/>
    <n v="42"/>
    <x v="0"/>
    <n v="108.71"/>
    <n v="16.2"/>
    <x v="3"/>
    <x v="1"/>
    <n v="3"/>
    <x v="20"/>
    <x v="3"/>
    <x v="48"/>
    <x v="0"/>
    <x v="0"/>
  </r>
  <r>
    <x v="49"/>
    <n v="36"/>
    <x v="0"/>
    <n v="97.21"/>
    <n v="13.41"/>
    <x v="4"/>
    <x v="2"/>
    <n v="1"/>
    <x v="4"/>
    <x v="1"/>
    <x v="49"/>
    <x v="0"/>
    <x v="1"/>
  </r>
  <r>
    <x v="50"/>
    <n v="34"/>
    <x v="0"/>
    <n v="98.46"/>
    <n v="15.38"/>
    <x v="2"/>
    <x v="0"/>
    <n v="2"/>
    <x v="0"/>
    <x v="0"/>
    <x v="50"/>
    <x v="0"/>
    <x v="1"/>
  </r>
  <r>
    <x v="51"/>
    <n v="40"/>
    <x v="0"/>
    <n v="100.6"/>
    <n v="17.309999999999999"/>
    <x v="1"/>
    <x v="2"/>
    <n v="0"/>
    <x v="2"/>
    <x v="4"/>
    <x v="51"/>
    <x v="0"/>
    <x v="0"/>
  </r>
  <r>
    <x v="52"/>
    <n v="39"/>
    <x v="0"/>
    <n v="96.54"/>
    <n v="18.239999999999998"/>
    <x v="4"/>
    <x v="2"/>
    <n v="1"/>
    <x v="13"/>
    <x v="4"/>
    <x v="52"/>
    <x v="1"/>
    <x v="0"/>
  </r>
  <r>
    <x v="53"/>
    <n v="57"/>
    <x v="1"/>
    <n v="110.58"/>
    <n v="21.99"/>
    <x v="2"/>
    <x v="3"/>
    <n v="0"/>
    <x v="4"/>
    <x v="0"/>
    <x v="53"/>
    <x v="0"/>
    <x v="2"/>
  </r>
  <r>
    <x v="54"/>
    <n v="50"/>
    <x v="0"/>
    <n v="114.47"/>
    <n v="18.010000000000002"/>
    <x v="0"/>
    <x v="2"/>
    <n v="0"/>
    <x v="2"/>
    <x v="3"/>
    <x v="54"/>
    <x v="0"/>
    <x v="2"/>
  </r>
  <r>
    <x v="55"/>
    <n v="31"/>
    <x v="0"/>
    <n v="96.28"/>
    <n v="16.84"/>
    <x v="4"/>
    <x v="0"/>
    <n v="3"/>
    <x v="19"/>
    <x v="2"/>
    <x v="55"/>
    <x v="0"/>
    <x v="1"/>
  </r>
  <r>
    <x v="56"/>
    <n v="44"/>
    <x v="0"/>
    <n v="104.76"/>
    <n v="18.399999999999999"/>
    <x v="4"/>
    <x v="0"/>
    <n v="1"/>
    <x v="16"/>
    <x v="0"/>
    <x v="56"/>
    <x v="0"/>
    <x v="0"/>
  </r>
  <r>
    <x v="57"/>
    <n v="42"/>
    <x v="1"/>
    <n v="105.35"/>
    <n v="19.88"/>
    <x v="0"/>
    <x v="0"/>
    <n v="2"/>
    <x v="5"/>
    <x v="2"/>
    <x v="57"/>
    <x v="0"/>
    <x v="0"/>
  </r>
  <r>
    <x v="58"/>
    <n v="59"/>
    <x v="1"/>
    <n v="110.75"/>
    <n v="24.56"/>
    <x v="4"/>
    <x v="4"/>
    <n v="1"/>
    <x v="17"/>
    <x v="0"/>
    <x v="58"/>
    <x v="1"/>
    <x v="2"/>
  </r>
  <r>
    <x v="59"/>
    <n v="56"/>
    <x v="1"/>
    <n v="108"/>
    <n v="22.24"/>
    <x v="3"/>
    <x v="4"/>
    <n v="2"/>
    <x v="20"/>
    <x v="1"/>
    <x v="59"/>
    <x v="1"/>
    <x v="2"/>
  </r>
  <r>
    <x v="60"/>
    <n v="32"/>
    <x v="0"/>
    <n v="98.63"/>
    <n v="17.96"/>
    <x v="1"/>
    <x v="3"/>
    <n v="2"/>
    <x v="21"/>
    <x v="3"/>
    <x v="60"/>
    <x v="0"/>
    <x v="1"/>
  </r>
  <r>
    <x v="61"/>
    <n v="47"/>
    <x v="0"/>
    <n v="103.57"/>
    <n v="22.13"/>
    <x v="2"/>
    <x v="0"/>
    <n v="0"/>
    <x v="2"/>
    <x v="0"/>
    <x v="61"/>
    <x v="1"/>
    <x v="0"/>
  </r>
  <r>
    <x v="62"/>
    <n v="28"/>
    <x v="1"/>
    <n v="92.72"/>
    <n v="15.7"/>
    <x v="4"/>
    <x v="3"/>
    <n v="1"/>
    <x v="19"/>
    <x v="3"/>
    <x v="62"/>
    <x v="0"/>
    <x v="1"/>
  </r>
  <r>
    <x v="63"/>
    <n v="56"/>
    <x v="1"/>
    <n v="113.3"/>
    <n v="20.45"/>
    <x v="3"/>
    <x v="0"/>
    <n v="2"/>
    <x v="19"/>
    <x v="4"/>
    <x v="63"/>
    <x v="0"/>
    <x v="2"/>
  </r>
  <r>
    <x v="64"/>
    <n v="38"/>
    <x v="1"/>
    <n v="104.84"/>
    <n v="19.829999999999998"/>
    <x v="4"/>
    <x v="3"/>
    <n v="0"/>
    <x v="7"/>
    <x v="3"/>
    <x v="64"/>
    <x v="0"/>
    <x v="0"/>
  </r>
  <r>
    <x v="65"/>
    <n v="50"/>
    <x v="0"/>
    <n v="104.56"/>
    <n v="21.62"/>
    <x v="4"/>
    <x v="1"/>
    <n v="1"/>
    <x v="12"/>
    <x v="0"/>
    <x v="65"/>
    <x v="1"/>
    <x v="2"/>
  </r>
  <r>
    <x v="66"/>
    <n v="27"/>
    <x v="1"/>
    <n v="97.32"/>
    <n v="16.28"/>
    <x v="3"/>
    <x v="4"/>
    <n v="0"/>
    <x v="7"/>
    <x v="0"/>
    <x v="66"/>
    <x v="0"/>
    <x v="1"/>
  </r>
  <r>
    <x v="67"/>
    <n v="32"/>
    <x v="0"/>
    <n v="103.58"/>
    <n v="15.12"/>
    <x v="4"/>
    <x v="3"/>
    <n v="2"/>
    <x v="22"/>
    <x v="2"/>
    <x v="67"/>
    <x v="0"/>
    <x v="1"/>
  </r>
  <r>
    <x v="68"/>
    <n v="53"/>
    <x v="1"/>
    <n v="105.92"/>
    <n v="22.98"/>
    <x v="3"/>
    <x v="3"/>
    <n v="0"/>
    <x v="7"/>
    <x v="4"/>
    <x v="68"/>
    <x v="1"/>
    <x v="2"/>
  </r>
  <r>
    <x v="69"/>
    <n v="33"/>
    <x v="1"/>
    <n v="104.76"/>
    <n v="13.89"/>
    <x v="2"/>
    <x v="4"/>
    <n v="0"/>
    <x v="19"/>
    <x v="2"/>
    <x v="69"/>
    <x v="0"/>
    <x v="1"/>
  </r>
  <r>
    <x v="70"/>
    <n v="49"/>
    <x v="1"/>
    <n v="108.22"/>
    <n v="19.55"/>
    <x v="0"/>
    <x v="1"/>
    <n v="2"/>
    <x v="9"/>
    <x v="2"/>
    <x v="70"/>
    <x v="0"/>
    <x v="2"/>
  </r>
  <r>
    <x v="71"/>
    <n v="32"/>
    <x v="0"/>
    <n v="97.69"/>
    <n v="18.04"/>
    <x v="2"/>
    <x v="0"/>
    <n v="2"/>
    <x v="23"/>
    <x v="0"/>
    <x v="71"/>
    <x v="1"/>
    <x v="1"/>
  </r>
  <r>
    <x v="72"/>
    <n v="52"/>
    <x v="0"/>
    <n v="104.99"/>
    <n v="22.77"/>
    <x v="2"/>
    <x v="0"/>
    <n v="1"/>
    <x v="20"/>
    <x v="1"/>
    <x v="72"/>
    <x v="1"/>
    <x v="2"/>
  </r>
  <r>
    <x v="73"/>
    <n v="25"/>
    <x v="1"/>
    <n v="88.93"/>
    <n v="15.5"/>
    <x v="2"/>
    <x v="3"/>
    <n v="3"/>
    <x v="24"/>
    <x v="1"/>
    <x v="73"/>
    <x v="1"/>
    <x v="1"/>
  </r>
  <r>
    <x v="74"/>
    <n v="41"/>
    <x v="0"/>
    <n v="105.5"/>
    <n v="20.18"/>
    <x v="0"/>
    <x v="4"/>
    <n v="3"/>
    <x v="13"/>
    <x v="3"/>
    <x v="74"/>
    <x v="0"/>
    <x v="0"/>
  </r>
  <r>
    <x v="75"/>
    <n v="38"/>
    <x v="1"/>
    <n v="101.47"/>
    <n v="15.96"/>
    <x v="0"/>
    <x v="1"/>
    <n v="0"/>
    <x v="7"/>
    <x v="0"/>
    <x v="75"/>
    <x v="0"/>
    <x v="0"/>
  </r>
  <r>
    <x v="76"/>
    <n v="46"/>
    <x v="1"/>
    <n v="103.84"/>
    <n v="17.13"/>
    <x v="1"/>
    <x v="4"/>
    <n v="1"/>
    <x v="16"/>
    <x v="2"/>
    <x v="76"/>
    <x v="0"/>
    <x v="0"/>
  </r>
  <r>
    <x v="77"/>
    <n v="45"/>
    <x v="1"/>
    <n v="103.74"/>
    <n v="18.21"/>
    <x v="0"/>
    <x v="2"/>
    <n v="0"/>
    <x v="19"/>
    <x v="2"/>
    <x v="77"/>
    <x v="0"/>
    <x v="0"/>
  </r>
  <r>
    <x v="78"/>
    <n v="48"/>
    <x v="1"/>
    <n v="101.32"/>
    <n v="21.93"/>
    <x v="4"/>
    <x v="0"/>
    <n v="2"/>
    <x v="5"/>
    <x v="1"/>
    <x v="78"/>
    <x v="1"/>
    <x v="0"/>
  </r>
  <r>
    <x v="79"/>
    <n v="54"/>
    <x v="0"/>
    <n v="109.83"/>
    <n v="21.35"/>
    <x v="2"/>
    <x v="0"/>
    <n v="1"/>
    <x v="16"/>
    <x v="3"/>
    <x v="79"/>
    <x v="0"/>
    <x v="2"/>
  </r>
  <r>
    <x v="80"/>
    <n v="49"/>
    <x v="1"/>
    <n v="112.98"/>
    <n v="18.22"/>
    <x v="2"/>
    <x v="1"/>
    <n v="1"/>
    <x v="17"/>
    <x v="0"/>
    <x v="80"/>
    <x v="0"/>
    <x v="2"/>
  </r>
  <r>
    <x v="81"/>
    <n v="45"/>
    <x v="0"/>
    <n v="104.87"/>
    <n v="19.66"/>
    <x v="0"/>
    <x v="4"/>
    <n v="2"/>
    <x v="20"/>
    <x v="4"/>
    <x v="81"/>
    <x v="0"/>
    <x v="0"/>
  </r>
  <r>
    <x v="82"/>
    <n v="30"/>
    <x v="1"/>
    <n v="100.81"/>
    <n v="14.39"/>
    <x v="3"/>
    <x v="4"/>
    <n v="2"/>
    <x v="21"/>
    <x v="0"/>
    <x v="82"/>
    <x v="0"/>
    <x v="1"/>
  </r>
  <r>
    <x v="83"/>
    <n v="29"/>
    <x v="0"/>
    <n v="101.16"/>
    <n v="14.14"/>
    <x v="3"/>
    <x v="0"/>
    <n v="3"/>
    <x v="6"/>
    <x v="0"/>
    <x v="83"/>
    <x v="0"/>
    <x v="1"/>
  </r>
  <r>
    <x v="84"/>
    <n v="57"/>
    <x v="0"/>
    <n v="115.19"/>
    <n v="20.76"/>
    <x v="0"/>
    <x v="4"/>
    <n v="0"/>
    <x v="8"/>
    <x v="0"/>
    <x v="84"/>
    <x v="0"/>
    <x v="2"/>
  </r>
  <r>
    <x v="85"/>
    <n v="56"/>
    <x v="1"/>
    <n v="110.72"/>
    <n v="20.149999999999999"/>
    <x v="1"/>
    <x v="1"/>
    <n v="1"/>
    <x v="12"/>
    <x v="4"/>
    <x v="85"/>
    <x v="0"/>
    <x v="2"/>
  </r>
  <r>
    <x v="86"/>
    <n v="56"/>
    <x v="0"/>
    <n v="106.73"/>
    <n v="24.09"/>
    <x v="1"/>
    <x v="1"/>
    <n v="3"/>
    <x v="17"/>
    <x v="4"/>
    <x v="86"/>
    <x v="1"/>
    <x v="2"/>
  </r>
  <r>
    <x v="87"/>
    <n v="25"/>
    <x v="0"/>
    <n v="99.72"/>
    <n v="14.9"/>
    <x v="4"/>
    <x v="0"/>
    <n v="3"/>
    <x v="23"/>
    <x v="1"/>
    <x v="87"/>
    <x v="0"/>
    <x v="1"/>
  </r>
  <r>
    <x v="88"/>
    <n v="30"/>
    <x v="0"/>
    <n v="96.45"/>
    <n v="14.77"/>
    <x v="4"/>
    <x v="0"/>
    <n v="0"/>
    <x v="2"/>
    <x v="3"/>
    <x v="88"/>
    <x v="0"/>
    <x v="1"/>
  </r>
  <r>
    <x v="89"/>
    <n v="53"/>
    <x v="1"/>
    <n v="106.44"/>
    <n v="20.73"/>
    <x v="4"/>
    <x v="2"/>
    <n v="2"/>
    <x v="12"/>
    <x v="0"/>
    <x v="89"/>
    <x v="0"/>
    <x v="2"/>
  </r>
  <r>
    <x v="90"/>
    <n v="29"/>
    <x v="0"/>
    <n v="97.77"/>
    <n v="15.72"/>
    <x v="3"/>
    <x v="3"/>
    <n v="0"/>
    <x v="4"/>
    <x v="0"/>
    <x v="90"/>
    <x v="0"/>
    <x v="1"/>
  </r>
  <r>
    <x v="91"/>
    <n v="58"/>
    <x v="1"/>
    <n v="113.49"/>
    <n v="25.26"/>
    <x v="1"/>
    <x v="4"/>
    <n v="3"/>
    <x v="25"/>
    <x v="4"/>
    <x v="91"/>
    <x v="1"/>
    <x v="2"/>
  </r>
  <r>
    <x v="92"/>
    <n v="26"/>
    <x v="1"/>
    <n v="92.08"/>
    <n v="15.29"/>
    <x v="4"/>
    <x v="1"/>
    <n v="2"/>
    <x v="21"/>
    <x v="2"/>
    <x v="92"/>
    <x v="0"/>
    <x v="1"/>
  </r>
  <r>
    <x v="93"/>
    <n v="25"/>
    <x v="0"/>
    <n v="96.42"/>
    <n v="15.34"/>
    <x v="4"/>
    <x v="2"/>
    <n v="2"/>
    <x v="4"/>
    <x v="2"/>
    <x v="93"/>
    <x v="0"/>
    <x v="1"/>
  </r>
  <r>
    <x v="94"/>
    <n v="59"/>
    <x v="0"/>
    <n v="108.1"/>
    <n v="19.25"/>
    <x v="0"/>
    <x v="3"/>
    <n v="1"/>
    <x v="8"/>
    <x v="0"/>
    <x v="94"/>
    <x v="0"/>
    <x v="2"/>
  </r>
  <r>
    <x v="95"/>
    <n v="50"/>
    <x v="0"/>
    <n v="109.15"/>
    <n v="22.09"/>
    <x v="0"/>
    <x v="4"/>
    <n v="0"/>
    <x v="2"/>
    <x v="1"/>
    <x v="95"/>
    <x v="1"/>
    <x v="2"/>
  </r>
  <r>
    <x v="96"/>
    <n v="48"/>
    <x v="1"/>
    <n v="107.71"/>
    <n v="19.079999999999998"/>
    <x v="1"/>
    <x v="0"/>
    <n v="2"/>
    <x v="22"/>
    <x v="2"/>
    <x v="96"/>
    <x v="0"/>
    <x v="0"/>
  </r>
  <r>
    <x v="97"/>
    <n v="57"/>
    <x v="1"/>
    <n v="112.41"/>
    <n v="21.55"/>
    <x v="3"/>
    <x v="4"/>
    <n v="0"/>
    <x v="4"/>
    <x v="0"/>
    <x v="97"/>
    <x v="0"/>
    <x v="2"/>
  </r>
  <r>
    <x v="98"/>
    <n v="45"/>
    <x v="1"/>
    <n v="110.12"/>
    <n v="18.510000000000002"/>
    <x v="1"/>
    <x v="0"/>
    <n v="0"/>
    <x v="4"/>
    <x v="3"/>
    <x v="98"/>
    <x v="0"/>
    <x v="0"/>
  </r>
  <r>
    <x v="99"/>
    <n v="49"/>
    <x v="1"/>
    <n v="106.6"/>
    <n v="21.21"/>
    <x v="1"/>
    <x v="3"/>
    <n v="2"/>
    <x v="26"/>
    <x v="3"/>
    <x v="99"/>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AC92BC-8CD8-4854-91FB-891DDFBA53DE}"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colHeaderCaption="">
  <location ref="A6:C11" firstHeaderRow="1" firstDataRow="2" firstDataCol="1"/>
  <pivotFields count="14">
    <pivotField dataField="1" showAll="0"/>
    <pivotField showAll="0"/>
    <pivotField showAll="0">
      <items count="3">
        <item x="0"/>
        <item h="1" x="1"/>
        <item t="default"/>
      </items>
    </pivotField>
    <pivotField showAll="0"/>
    <pivotField showAll="0"/>
    <pivotField showAll="0"/>
    <pivotField showAll="0"/>
    <pivotField showAll="0"/>
    <pivotField showAll="0"/>
    <pivotField showAll="0">
      <items count="6">
        <item x="1"/>
        <item h="1" x="2"/>
        <item h="1" x="3"/>
        <item h="1" x="0"/>
        <item h="1" x="4"/>
        <item t="default"/>
      </items>
    </pivotField>
    <pivotField showAll="0"/>
    <pivotField axis="axisCol" showAll="0">
      <items count="3">
        <item x="1"/>
        <item h="1" x="0"/>
        <item t="default"/>
      </items>
    </pivotField>
    <pivotField axis="axisRow" showAll="0">
      <items count="4">
        <item x="1"/>
        <item x="0"/>
        <item x="2"/>
        <item t="default"/>
      </items>
    </pivotField>
    <pivotField dragToRow="0" dragToCol="0" dragToPage="0" showAll="0" defaultSubtotal="0"/>
  </pivotFields>
  <rowFields count="1">
    <field x="12"/>
  </rowFields>
  <rowItems count="4">
    <i>
      <x/>
    </i>
    <i>
      <x v="1"/>
    </i>
    <i>
      <x v="2"/>
    </i>
    <i t="grand">
      <x/>
    </i>
  </rowItems>
  <colFields count="1">
    <field x="11"/>
  </colFields>
  <colItems count="2">
    <i>
      <x/>
    </i>
    <i t="grand">
      <x/>
    </i>
  </colItems>
  <dataFields count="1">
    <dataField name="Health Status by Age Group" fld="0" subtotal="count" baseField="0" baseItem="0"/>
  </dataFields>
  <chartFormats count="4">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2" format="4" series="1">
      <pivotArea type="data" outline="0" fieldPosition="0">
        <references count="2">
          <reference field="4294967294" count="1" selected="0">
            <x v="0"/>
          </reference>
          <reference field="11" count="1" selected="0">
            <x v="0"/>
          </reference>
        </references>
      </pivotArea>
    </chartFormat>
    <chartFormat chart="2"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F48550-F36C-4114-8508-2FA5B09D0EE5}"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fruit" colHeaderCaption="vegie">
  <location ref="A3:G10" firstHeaderRow="1" firstDataRow="2" firstDataCol="1"/>
  <pivotFields count="14">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items count="3">
        <item x="0"/>
        <item h="1" x="1"/>
        <item t="default"/>
      </items>
    </pivotField>
    <pivotField showAll="0"/>
    <pivotField showAll="0"/>
    <pivotField axis="axisRow" showAll="0">
      <items count="6">
        <item x="1"/>
        <item x="0"/>
        <item x="3"/>
        <item x="2"/>
        <item x="4"/>
        <item t="default"/>
      </items>
    </pivotField>
    <pivotField axis="axisCol" showAll="0">
      <items count="6">
        <item x="3"/>
        <item x="1"/>
        <item x="0"/>
        <item x="2"/>
        <item x="4"/>
        <item t="default"/>
      </items>
    </pivotField>
    <pivotField showAll="0"/>
    <pivotField showAll="0"/>
    <pivotField showAll="0">
      <items count="6">
        <item h="1" x="1"/>
        <item h="1" x="2"/>
        <item h="1" x="3"/>
        <item h="1" x="0"/>
        <item x="4"/>
        <item t="default"/>
      </items>
    </pivotField>
    <pivotField dataField="1" showAll="0">
      <items count="101">
        <item x="27"/>
        <item x="69"/>
        <item x="36"/>
        <item x="23"/>
        <item x="31"/>
        <item x="48"/>
        <item x="54"/>
        <item x="83"/>
        <item x="67"/>
        <item x="82"/>
        <item x="49"/>
        <item x="80"/>
        <item x="9"/>
        <item x="10"/>
        <item x="87"/>
        <item x="4"/>
        <item x="44"/>
        <item x="98"/>
        <item x="33"/>
        <item x="75"/>
        <item x="28"/>
        <item x="84"/>
        <item x="17"/>
        <item x="38"/>
        <item x="50"/>
        <item x="88"/>
        <item x="76"/>
        <item x="0"/>
        <item x="63"/>
        <item x="19"/>
        <item x="40"/>
        <item x="47"/>
        <item x="43"/>
        <item x="12"/>
        <item x="34"/>
        <item x="20"/>
        <item x="85"/>
        <item x="90"/>
        <item x="96"/>
        <item x="94"/>
        <item x="93"/>
        <item x="1"/>
        <item x="24"/>
        <item x="70"/>
        <item x="56"/>
        <item x="25"/>
        <item x="42"/>
        <item x="77"/>
        <item x="97"/>
        <item x="15"/>
        <item x="51"/>
        <item x="13"/>
        <item x="66"/>
        <item x="18"/>
        <item x="32"/>
        <item x="21"/>
        <item x="14"/>
        <item x="6"/>
        <item x="79"/>
        <item x="45"/>
        <item x="81"/>
        <item x="46"/>
        <item x="57"/>
        <item x="39"/>
        <item x="11"/>
        <item x="53"/>
        <item x="92"/>
        <item x="64"/>
        <item x="22"/>
        <item x="74"/>
        <item x="55"/>
        <item x="5"/>
        <item x="30"/>
        <item x="62"/>
        <item x="89"/>
        <item x="60"/>
        <item x="95"/>
        <item x="7"/>
        <item x="99"/>
        <item x="35"/>
        <item x="71"/>
        <item x="26"/>
        <item x="37"/>
        <item x="59"/>
        <item x="2"/>
        <item x="29"/>
        <item x="52"/>
        <item x="8"/>
        <item x="73"/>
        <item x="91"/>
        <item x="41"/>
        <item x="3"/>
        <item x="65"/>
        <item x="16"/>
        <item x="58"/>
        <item x="68"/>
        <item x="61"/>
        <item x="72"/>
        <item x="86"/>
        <item x="78"/>
        <item t="default"/>
      </items>
    </pivotField>
    <pivotField showAll="0">
      <items count="3">
        <item x="1"/>
        <item h="1" x="0"/>
        <item t="default"/>
      </items>
    </pivotField>
    <pivotField showAll="0">
      <items count="4">
        <item x="1"/>
        <item x="0"/>
        <item x="2"/>
        <item t="default"/>
      </items>
    </pivotField>
    <pivotField dragToRow="0" dragToCol="0" dragToPage="0" showAll="0" defaultSubtotal="0"/>
  </pivotFields>
  <rowFields count="1">
    <field x="5"/>
  </rowFields>
  <rowItems count="6">
    <i>
      <x/>
    </i>
    <i>
      <x v="1"/>
    </i>
    <i>
      <x v="2"/>
    </i>
    <i>
      <x v="3"/>
    </i>
    <i>
      <x v="4"/>
    </i>
    <i t="grand">
      <x/>
    </i>
  </rowItems>
  <colFields count="1">
    <field x="6"/>
  </colFields>
  <colItems count="6">
    <i>
      <x/>
    </i>
    <i>
      <x v="1"/>
    </i>
    <i>
      <x v="2"/>
    </i>
    <i>
      <x v="3"/>
    </i>
    <i>
      <x v="4"/>
    </i>
    <i t="grand">
      <x/>
    </i>
  </colItems>
  <dataFields count="1">
    <dataField name="Average of BMI" fld="10" subtotal="average" baseField="5" baseItem="0" numFmtId="2"/>
  </dataFields>
  <chartFormats count="35">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2" format="35" series="1">
      <pivotArea type="data" outline="0" fieldPosition="0">
        <references count="2">
          <reference field="4294967294" count="1" selected="0">
            <x v="0"/>
          </reference>
          <reference field="6" count="1" selected="0">
            <x v="0"/>
          </reference>
        </references>
      </pivotArea>
    </chartFormat>
    <chartFormat chart="2" format="36">
      <pivotArea type="data" outline="0" fieldPosition="0">
        <references count="3">
          <reference field="4294967294" count="1" selected="0">
            <x v="0"/>
          </reference>
          <reference field="5" count="1" selected="0">
            <x v="0"/>
          </reference>
          <reference field="6" count="1" selected="0">
            <x v="0"/>
          </reference>
        </references>
      </pivotArea>
    </chartFormat>
    <chartFormat chart="2" format="37">
      <pivotArea type="data" outline="0" fieldPosition="0">
        <references count="3">
          <reference field="4294967294" count="1" selected="0">
            <x v="0"/>
          </reference>
          <reference field="5" count="1" selected="0">
            <x v="1"/>
          </reference>
          <reference field="6" count="1" selected="0">
            <x v="0"/>
          </reference>
        </references>
      </pivotArea>
    </chartFormat>
    <chartFormat chart="2" format="38">
      <pivotArea type="data" outline="0" fieldPosition="0">
        <references count="3">
          <reference field="4294967294" count="1" selected="0">
            <x v="0"/>
          </reference>
          <reference field="5" count="1" selected="0">
            <x v="2"/>
          </reference>
          <reference field="6" count="1" selected="0">
            <x v="0"/>
          </reference>
        </references>
      </pivotArea>
    </chartFormat>
    <chartFormat chart="2" format="39">
      <pivotArea type="data" outline="0" fieldPosition="0">
        <references count="3">
          <reference field="4294967294" count="1" selected="0">
            <x v="0"/>
          </reference>
          <reference field="5" count="1" selected="0">
            <x v="3"/>
          </reference>
          <reference field="6" count="1" selected="0">
            <x v="0"/>
          </reference>
        </references>
      </pivotArea>
    </chartFormat>
    <chartFormat chart="2" format="40">
      <pivotArea type="data" outline="0" fieldPosition="0">
        <references count="3">
          <reference field="4294967294" count="1" selected="0">
            <x v="0"/>
          </reference>
          <reference field="5" count="1" selected="0">
            <x v="4"/>
          </reference>
          <reference field="6" count="1" selected="0">
            <x v="0"/>
          </reference>
        </references>
      </pivotArea>
    </chartFormat>
    <chartFormat chart="2" format="41" series="1">
      <pivotArea type="data" outline="0" fieldPosition="0">
        <references count="2">
          <reference field="4294967294" count="1" selected="0">
            <x v="0"/>
          </reference>
          <reference field="6" count="1" selected="0">
            <x v="1"/>
          </reference>
        </references>
      </pivotArea>
    </chartFormat>
    <chartFormat chart="2" format="42">
      <pivotArea type="data" outline="0" fieldPosition="0">
        <references count="3">
          <reference field="4294967294" count="1" selected="0">
            <x v="0"/>
          </reference>
          <reference field="5" count="1" selected="0">
            <x v="0"/>
          </reference>
          <reference field="6" count="1" selected="0">
            <x v="1"/>
          </reference>
        </references>
      </pivotArea>
    </chartFormat>
    <chartFormat chart="2" format="43">
      <pivotArea type="data" outline="0" fieldPosition="0">
        <references count="3">
          <reference field="4294967294" count="1" selected="0">
            <x v="0"/>
          </reference>
          <reference field="5" count="1" selected="0">
            <x v="1"/>
          </reference>
          <reference field="6" count="1" selected="0">
            <x v="1"/>
          </reference>
        </references>
      </pivotArea>
    </chartFormat>
    <chartFormat chart="2" format="44">
      <pivotArea type="data" outline="0" fieldPosition="0">
        <references count="3">
          <reference field="4294967294" count="1" selected="0">
            <x v="0"/>
          </reference>
          <reference field="5" count="1" selected="0">
            <x v="2"/>
          </reference>
          <reference field="6" count="1" selected="0">
            <x v="1"/>
          </reference>
        </references>
      </pivotArea>
    </chartFormat>
    <chartFormat chart="2" format="45">
      <pivotArea type="data" outline="0" fieldPosition="0">
        <references count="3">
          <reference field="4294967294" count="1" selected="0">
            <x v="0"/>
          </reference>
          <reference field="5" count="1" selected="0">
            <x v="3"/>
          </reference>
          <reference field="6" count="1" selected="0">
            <x v="1"/>
          </reference>
        </references>
      </pivotArea>
    </chartFormat>
    <chartFormat chart="2" format="46">
      <pivotArea type="data" outline="0" fieldPosition="0">
        <references count="3">
          <reference field="4294967294" count="1" selected="0">
            <x v="0"/>
          </reference>
          <reference field="5" count="1" selected="0">
            <x v="4"/>
          </reference>
          <reference field="6" count="1" selected="0">
            <x v="1"/>
          </reference>
        </references>
      </pivotArea>
    </chartFormat>
    <chartFormat chart="2" format="47" series="1">
      <pivotArea type="data" outline="0" fieldPosition="0">
        <references count="2">
          <reference field="4294967294" count="1" selected="0">
            <x v="0"/>
          </reference>
          <reference field="6" count="1" selected="0">
            <x v="2"/>
          </reference>
        </references>
      </pivotArea>
    </chartFormat>
    <chartFormat chart="2" format="48">
      <pivotArea type="data" outline="0" fieldPosition="0">
        <references count="3">
          <reference field="4294967294" count="1" selected="0">
            <x v="0"/>
          </reference>
          <reference field="5" count="1" selected="0">
            <x v="0"/>
          </reference>
          <reference field="6" count="1" selected="0">
            <x v="2"/>
          </reference>
        </references>
      </pivotArea>
    </chartFormat>
    <chartFormat chart="2" format="49">
      <pivotArea type="data" outline="0" fieldPosition="0">
        <references count="3">
          <reference field="4294967294" count="1" selected="0">
            <x v="0"/>
          </reference>
          <reference field="5" count="1" selected="0">
            <x v="1"/>
          </reference>
          <reference field="6" count="1" selected="0">
            <x v="2"/>
          </reference>
        </references>
      </pivotArea>
    </chartFormat>
    <chartFormat chart="2" format="50">
      <pivotArea type="data" outline="0" fieldPosition="0">
        <references count="3">
          <reference field="4294967294" count="1" selected="0">
            <x v="0"/>
          </reference>
          <reference field="5" count="1" selected="0">
            <x v="2"/>
          </reference>
          <reference field="6" count="1" selected="0">
            <x v="2"/>
          </reference>
        </references>
      </pivotArea>
    </chartFormat>
    <chartFormat chart="2" format="51">
      <pivotArea type="data" outline="0" fieldPosition="0">
        <references count="3">
          <reference field="4294967294" count="1" selected="0">
            <x v="0"/>
          </reference>
          <reference field="5" count="1" selected="0">
            <x v="3"/>
          </reference>
          <reference field="6" count="1" selected="0">
            <x v="2"/>
          </reference>
        </references>
      </pivotArea>
    </chartFormat>
    <chartFormat chart="2" format="52">
      <pivotArea type="data" outline="0" fieldPosition="0">
        <references count="3">
          <reference field="4294967294" count="1" selected="0">
            <x v="0"/>
          </reference>
          <reference field="5" count="1" selected="0">
            <x v="4"/>
          </reference>
          <reference field="6" count="1" selected="0">
            <x v="2"/>
          </reference>
        </references>
      </pivotArea>
    </chartFormat>
    <chartFormat chart="2" format="53" series="1">
      <pivotArea type="data" outline="0" fieldPosition="0">
        <references count="2">
          <reference field="4294967294" count="1" selected="0">
            <x v="0"/>
          </reference>
          <reference field="6" count="1" selected="0">
            <x v="3"/>
          </reference>
        </references>
      </pivotArea>
    </chartFormat>
    <chartFormat chart="2" format="54">
      <pivotArea type="data" outline="0" fieldPosition="0">
        <references count="3">
          <reference field="4294967294" count="1" selected="0">
            <x v="0"/>
          </reference>
          <reference field="5" count="1" selected="0">
            <x v="0"/>
          </reference>
          <reference field="6" count="1" selected="0">
            <x v="3"/>
          </reference>
        </references>
      </pivotArea>
    </chartFormat>
    <chartFormat chart="2" format="55">
      <pivotArea type="data" outline="0" fieldPosition="0">
        <references count="3">
          <reference field="4294967294" count="1" selected="0">
            <x v="0"/>
          </reference>
          <reference field="5" count="1" selected="0">
            <x v="1"/>
          </reference>
          <reference field="6" count="1" selected="0">
            <x v="3"/>
          </reference>
        </references>
      </pivotArea>
    </chartFormat>
    <chartFormat chart="2" format="56">
      <pivotArea type="data" outline="0" fieldPosition="0">
        <references count="3">
          <reference field="4294967294" count="1" selected="0">
            <x v="0"/>
          </reference>
          <reference field="5" count="1" selected="0">
            <x v="2"/>
          </reference>
          <reference field="6" count="1" selected="0">
            <x v="3"/>
          </reference>
        </references>
      </pivotArea>
    </chartFormat>
    <chartFormat chart="2" format="57">
      <pivotArea type="data" outline="0" fieldPosition="0">
        <references count="3">
          <reference field="4294967294" count="1" selected="0">
            <x v="0"/>
          </reference>
          <reference field="5" count="1" selected="0">
            <x v="3"/>
          </reference>
          <reference field="6" count="1" selected="0">
            <x v="3"/>
          </reference>
        </references>
      </pivotArea>
    </chartFormat>
    <chartFormat chart="2" format="58">
      <pivotArea type="data" outline="0" fieldPosition="0">
        <references count="3">
          <reference field="4294967294" count="1" selected="0">
            <x v="0"/>
          </reference>
          <reference field="5" count="1" selected="0">
            <x v="4"/>
          </reference>
          <reference field="6" count="1" selected="0">
            <x v="3"/>
          </reference>
        </references>
      </pivotArea>
    </chartFormat>
    <chartFormat chart="2" format="59" series="1">
      <pivotArea type="data" outline="0" fieldPosition="0">
        <references count="2">
          <reference field="4294967294" count="1" selected="0">
            <x v="0"/>
          </reference>
          <reference field="6" count="1" selected="0">
            <x v="4"/>
          </reference>
        </references>
      </pivotArea>
    </chartFormat>
    <chartFormat chart="2" format="60">
      <pivotArea type="data" outline="0" fieldPosition="0">
        <references count="3">
          <reference field="4294967294" count="1" selected="0">
            <x v="0"/>
          </reference>
          <reference field="5" count="1" selected="0">
            <x v="0"/>
          </reference>
          <reference field="6" count="1" selected="0">
            <x v="4"/>
          </reference>
        </references>
      </pivotArea>
    </chartFormat>
    <chartFormat chart="2" format="61">
      <pivotArea type="data" outline="0" fieldPosition="0">
        <references count="3">
          <reference field="4294967294" count="1" selected="0">
            <x v="0"/>
          </reference>
          <reference field="5" count="1" selected="0">
            <x v="1"/>
          </reference>
          <reference field="6" count="1" selected="0">
            <x v="4"/>
          </reference>
        </references>
      </pivotArea>
    </chartFormat>
    <chartFormat chart="2" format="62">
      <pivotArea type="data" outline="0" fieldPosition="0">
        <references count="3">
          <reference field="4294967294" count="1" selected="0">
            <x v="0"/>
          </reference>
          <reference field="5" count="1" selected="0">
            <x v="2"/>
          </reference>
          <reference field="6" count="1" selected="0">
            <x v="4"/>
          </reference>
        </references>
      </pivotArea>
    </chartFormat>
    <chartFormat chart="2" format="63">
      <pivotArea type="data" outline="0" fieldPosition="0">
        <references count="3">
          <reference field="4294967294" count="1" selected="0">
            <x v="0"/>
          </reference>
          <reference field="5" count="1" selected="0">
            <x v="3"/>
          </reference>
          <reference field="6" count="1" selected="0">
            <x v="4"/>
          </reference>
        </references>
      </pivotArea>
    </chartFormat>
    <chartFormat chart="2" format="64">
      <pivotArea type="data" outline="0" fieldPosition="0">
        <references count="3">
          <reference field="4294967294" count="1" selected="0">
            <x v="0"/>
          </reference>
          <reference field="5" count="1" selected="0">
            <x v="4"/>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5A3F00-7707-46BB-97C3-A7BB94B416D8}"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5" firstHeaderRow="0" firstDataRow="1" firstDataCol="1"/>
  <pivotFields count="14">
    <pivotField showAll="0"/>
    <pivotField showAll="0"/>
    <pivotField showAll="0">
      <items count="3">
        <item x="0"/>
        <item h="1" x="1"/>
        <item t="default"/>
      </items>
    </pivotField>
    <pivotField showAll="0"/>
    <pivotField showAll="0"/>
    <pivotField showAll="0"/>
    <pivotField showAll="0"/>
    <pivotField dataField="1" showAll="0"/>
    <pivotField dataField="1" showAll="0">
      <items count="28">
        <item x="19"/>
        <item x="2"/>
        <item x="16"/>
        <item x="7"/>
        <item x="4"/>
        <item x="8"/>
        <item x="20"/>
        <item x="0"/>
        <item x="6"/>
        <item x="1"/>
        <item x="3"/>
        <item x="9"/>
        <item x="17"/>
        <item x="22"/>
        <item x="13"/>
        <item x="12"/>
        <item x="10"/>
        <item x="23"/>
        <item x="15"/>
        <item x="26"/>
        <item x="21"/>
        <item x="5"/>
        <item x="14"/>
        <item x="25"/>
        <item x="11"/>
        <item x="18"/>
        <item x="24"/>
        <item t="default"/>
      </items>
    </pivotField>
    <pivotField showAll="0"/>
    <pivotField showAll="0"/>
    <pivotField axis="axisRow" showAll="0">
      <items count="3">
        <item x="1"/>
        <item h="1" x="0"/>
        <item t="default"/>
      </items>
    </pivotField>
    <pivotField showAll="0"/>
    <pivotField dataField="1" dragToRow="0" dragToCol="0" dragToPage="0" showAll="0" defaultSubtotal="0"/>
  </pivotFields>
  <rowFields count="1">
    <field x="11"/>
  </rowFields>
  <rowItems count="2">
    <i>
      <x/>
    </i>
    <i t="grand">
      <x/>
    </i>
  </rowItems>
  <colFields count="1">
    <field x="-2"/>
  </colFields>
  <colItems count="3">
    <i>
      <x/>
    </i>
    <i i="1">
      <x v="1"/>
    </i>
    <i i="2">
      <x v="2"/>
    </i>
  </colItems>
  <dataFields count="3">
    <dataField name="Average of Daily_Sugar_Drinks" fld="7" subtotal="average" baseField="11" baseItem="0" numFmtId="2"/>
    <dataField name="Average of ScreenTime_Hours" fld="8" subtotal="average" baseField="11" baseItem="0" numFmtId="2"/>
    <dataField name="Sum of Field1" fld="13"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2F1DF3-8358-4A7D-BF6D-2EE48D20759A}"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9" firstHeaderRow="0" firstDataRow="1" firstDataCol="1"/>
  <pivotFields count="14">
    <pivotField showAll="0"/>
    <pivotField showAll="0"/>
    <pivotField showAll="0"/>
    <pivotField showAll="0"/>
    <pivotField showAll="0"/>
    <pivotField dataField="1" showAll="0"/>
    <pivotField showAll="0"/>
    <pivotField showAll="0"/>
    <pivotField showAll="0"/>
    <pivotField axis="axisRow" showAll="0">
      <items count="6">
        <item x="1"/>
        <item x="2"/>
        <item x="3"/>
        <item x="0"/>
        <item x="4"/>
        <item t="default"/>
      </items>
    </pivotField>
    <pivotField dataField="1" showAll="0">
      <items count="101">
        <item x="27"/>
        <item x="69"/>
        <item x="36"/>
        <item x="23"/>
        <item x="31"/>
        <item x="48"/>
        <item x="54"/>
        <item x="83"/>
        <item x="67"/>
        <item x="82"/>
        <item x="49"/>
        <item x="80"/>
        <item x="9"/>
        <item x="10"/>
        <item x="87"/>
        <item x="4"/>
        <item x="44"/>
        <item x="98"/>
        <item x="33"/>
        <item x="75"/>
        <item x="28"/>
        <item x="84"/>
        <item x="17"/>
        <item x="38"/>
        <item x="50"/>
        <item x="88"/>
        <item x="76"/>
        <item x="0"/>
        <item x="63"/>
        <item x="19"/>
        <item x="40"/>
        <item x="47"/>
        <item x="43"/>
        <item x="12"/>
        <item x="34"/>
        <item x="20"/>
        <item x="85"/>
        <item x="90"/>
        <item x="96"/>
        <item x="94"/>
        <item x="93"/>
        <item x="1"/>
        <item x="24"/>
        <item x="70"/>
        <item x="56"/>
        <item x="25"/>
        <item x="42"/>
        <item x="77"/>
        <item x="97"/>
        <item x="15"/>
        <item x="51"/>
        <item x="13"/>
        <item x="66"/>
        <item x="18"/>
        <item x="32"/>
        <item x="21"/>
        <item x="14"/>
        <item x="6"/>
        <item x="79"/>
        <item x="45"/>
        <item x="81"/>
        <item x="46"/>
        <item x="57"/>
        <item x="39"/>
        <item x="11"/>
        <item x="53"/>
        <item x="92"/>
        <item x="64"/>
        <item x="22"/>
        <item x="74"/>
        <item x="55"/>
        <item x="5"/>
        <item x="30"/>
        <item x="62"/>
        <item x="89"/>
        <item x="60"/>
        <item x="95"/>
        <item x="7"/>
        <item x="99"/>
        <item x="35"/>
        <item x="71"/>
        <item x="26"/>
        <item x="37"/>
        <item x="59"/>
        <item x="2"/>
        <item x="29"/>
        <item x="52"/>
        <item x="8"/>
        <item x="73"/>
        <item x="91"/>
        <item x="41"/>
        <item x="3"/>
        <item x="65"/>
        <item x="16"/>
        <item x="58"/>
        <item x="68"/>
        <item x="61"/>
        <item x="72"/>
        <item x="86"/>
        <item x="78"/>
        <item t="default"/>
      </items>
    </pivotField>
    <pivotField showAll="0"/>
    <pivotField showAll="0"/>
    <pivotField dragToRow="0" dragToCol="0" dragToPage="0" showAll="0" defaultSubtotal="0"/>
  </pivotFields>
  <rowFields count="1">
    <field x="9"/>
  </rowFields>
  <rowItems count="6">
    <i>
      <x/>
    </i>
    <i>
      <x v="1"/>
    </i>
    <i>
      <x v="2"/>
    </i>
    <i>
      <x v="3"/>
    </i>
    <i>
      <x v="4"/>
    </i>
    <i t="grand">
      <x/>
    </i>
  </rowItems>
  <colFields count="1">
    <field x="-2"/>
  </colFields>
  <colItems count="2">
    <i>
      <x/>
    </i>
    <i i="1">
      <x v="1"/>
    </i>
  </colItems>
  <dataFields count="2">
    <dataField name="Average of Daily_Fruit_Servings" fld="5" subtotal="average" baseField="9" baseItem="0" numFmtId="2"/>
    <dataField name="Average of BMI" fld="10" subtotal="average" baseField="9"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1638384-FE44-42E0-996F-5B1322EFD041}" autoFormatId="16" applyNumberFormats="0" applyBorderFormats="0" applyFontFormats="0" applyPatternFormats="0" applyAlignmentFormats="0" applyWidthHeightFormats="0">
  <queryTableRefresh nextId="15" unboundColumnsRight="3">
    <queryTableFields count="13">
      <queryTableField id="1" name="ChildID" tableColumnId="1"/>
      <queryTableField id="2" name="Age_Months" tableColumnId="2"/>
      <queryTableField id="3" name="Gender" tableColumnId="3"/>
      <queryTableField id="4" name="Height_cm" tableColumnId="4"/>
      <queryTableField id="5" name="Weight_kg" tableColumnId="5"/>
      <queryTableField id="6" name="Daily_Fruit_Servings" tableColumnId="6"/>
      <queryTableField id="7" name="Daily_Veggie_Servings" tableColumnId="7"/>
      <queryTableField id="8" name="Daily_Sugar_Drinks" tableColumnId="8"/>
      <queryTableField id="9" name="ScreenTime_Hours" tableColumnId="9"/>
      <queryTableField id="10" name="Region" tableColumnId="10"/>
      <queryTableField id="11" dataBound="0" tableColumnId="11"/>
      <queryTableField id="12" dataBound="0" tableColumnId="12"/>
      <queryTableField id="14" dataBound="0"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73F63CA-84B4-4FA8-8B99-FC2A87C8FFFF}" sourceName="Region">
  <data>
    <tabular pivotCacheId="1169519104">
      <items count="5">
        <i x="1"/>
        <i x="2"/>
        <i x="3"/>
        <i x="0"/>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B4ED667-7438-46DA-8D67-CF85769EEDA9}" sourceName="Gender">
  <pivotTables>
    <pivotTable tabId="5" name="PivotTable2"/>
    <pivotTable tabId="7" name="PivotTable4"/>
    <pivotTable tabId="6" name="PivotTable3"/>
  </pivotTables>
  <data>
    <tabular pivotCacheId="1169519104">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lth_Status" xr10:uid="{6C8CC5CA-CC34-4E8B-BE33-208681FF3B29}" sourceName="Health_Status">
  <pivotTables>
    <pivotTable tabId="5" name="PivotTable2"/>
    <pivotTable tabId="7" name="PivotTable4"/>
    <pivotTable tabId="6" name="PivotTable3"/>
  </pivotTables>
  <data>
    <tabular pivotCacheId="1169519104">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71BC7EC-664C-4441-9328-03EE2EF87556}" cache="Slicer_Region" caption="Reg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7EB29DA-F515-4E40-953D-42BE4E46BD40}" cache="Slicer_Gender" caption="Gender" rowHeight="247650"/>
  <slicer name="Health_Status" xr10:uid="{E2F470AA-773C-46F1-A419-2F894DD7C949}" cache="Slicer_Health_Status" caption="Health_Status"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C62EFD-E353-493F-9312-D1AC4B9A4DBD}" name="Table1" displayName="Table1" ref="A1:J101" totalsRowShown="0" headerRowDxfId="17" dataDxfId="16">
  <autoFilter ref="A1:J101" xr:uid="{EEC62EFD-E353-493F-9312-D1AC4B9A4DBD}"/>
  <tableColumns count="10">
    <tableColumn id="1" xr3:uid="{B31C9968-EB87-489E-831D-646850631901}" name="ChildID" dataDxfId="15"/>
    <tableColumn id="2" xr3:uid="{870C9EB9-B463-48CF-B54F-8AA32C5796A4}" name="Age_Months" dataDxfId="14"/>
    <tableColumn id="3" xr3:uid="{D0A22C25-E563-4F53-9CD8-78B533A4D3DE}" name="Gender" dataDxfId="13"/>
    <tableColumn id="4" xr3:uid="{0DCBE63B-A9C9-4880-91A3-2F46139D67AA}" name="Height_cm" dataDxfId="12"/>
    <tableColumn id="5" xr3:uid="{C0EB990C-4B9E-4335-964B-012ABB43EA43}" name="Weight_kg" dataDxfId="11"/>
    <tableColumn id="6" xr3:uid="{B25FD7A8-C605-4EB9-8B35-E0D337A575C7}" name="Daily_Fruit_Servings" dataDxfId="10"/>
    <tableColumn id="7" xr3:uid="{D73D09F2-6BE3-434B-815C-907E93BF870B}" name="Daily_Veggie_Servings" dataDxfId="9"/>
    <tableColumn id="8" xr3:uid="{7BC54112-08F0-45EE-AAA8-E79C5124D5A1}" name="Daily_Sugar_Drinks" dataDxfId="8"/>
    <tableColumn id="9" xr3:uid="{41AF6A85-44B0-4E08-9489-29E6D651ED55}" name="ScreenTime_Hours" dataDxfId="7"/>
    <tableColumn id="10" xr3:uid="{731282A4-DC04-468D-B260-6319DC81E75B}" name="Region"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11D5CC-E4E8-4DD6-AC63-7755564372E6}" name="Child_Health_data" displayName="Child_Health_data" ref="A1:M101" tableType="queryTable" totalsRowShown="0">
  <autoFilter ref="A1:M101" xr:uid="{D511D5CC-E4E8-4DD6-AC63-7755564372E6}"/>
  <tableColumns count="13">
    <tableColumn id="1" xr3:uid="{FCCE8A1C-9061-4E23-AFD9-E1C9EB250ECD}" uniqueName="1" name="ChildID" queryTableFieldId="1" dataDxfId="5"/>
    <tableColumn id="2" xr3:uid="{FD6C7A8D-2ACE-4E77-97AA-669741F8E72B}" uniqueName="2" name="Age_Months" queryTableFieldId="2"/>
    <tableColumn id="3" xr3:uid="{3E535F4B-3CB7-4DA3-A35E-A3EB6EDC2F5A}" uniqueName="3" name="Gender" queryTableFieldId="3" dataDxfId="4"/>
    <tableColumn id="4" xr3:uid="{E24F4864-A6B4-4482-A367-8ABC3E5744EC}" uniqueName="4" name="Height_cm" queryTableFieldId="4"/>
    <tableColumn id="5" xr3:uid="{190FE165-CAC6-45CE-BC65-FA32715EAA08}" uniqueName="5" name="Weight_kg" queryTableFieldId="5"/>
    <tableColumn id="6" xr3:uid="{61FDF400-4C8A-4A82-94D4-49970A99FFCE}" uniqueName="6" name="Daily_Fruit_Servings" queryTableFieldId="6"/>
    <tableColumn id="7" xr3:uid="{4778B6F5-19F1-4BA7-82F1-987F3DF41DF5}" uniqueName="7" name="Daily_Veggie_Servings" queryTableFieldId="7"/>
    <tableColumn id="8" xr3:uid="{8F88BCA6-0C4B-42E6-970A-DBFD960B1D48}" uniqueName="8" name="Daily_Sugar_Drinks" queryTableFieldId="8"/>
    <tableColumn id="9" xr3:uid="{85BB703F-D33C-489C-A6E5-DCD131187A3A}" uniqueName="9" name="ScreenTime_Hours" queryTableFieldId="9"/>
    <tableColumn id="10" xr3:uid="{84A1795A-DC85-43B9-8CB9-AA97C8EDBE4A}" uniqueName="10" name="Region" queryTableFieldId="10" dataDxfId="3"/>
    <tableColumn id="11" xr3:uid="{676A75FF-9CBD-4978-9B82-99B722EBE2C0}" uniqueName="11" name="BMI" queryTableFieldId="11" dataDxfId="2">
      <calculatedColumnFormula>Child_Health_data[[#This Row],[Weight_kg]]/((Child_Health_data[[#This Row],[Height_cm]]/100)^2)</calculatedColumnFormula>
    </tableColumn>
    <tableColumn id="12" xr3:uid="{DD52AA67-866C-4ED3-9E1D-C3712E77FDC8}" uniqueName="12" name="Health_Status" queryTableFieldId="12" dataDxfId="1">
      <calculatedColumnFormula>(IF(Child_Health_data[[#This Row],[BMI]]&lt;18.5,"Underweight",
   IF(Child_Health_data[[#This Row],[BMI]]&lt;25,"Healthy Weight",
   IF(Child_Health_data[[#This Row],[BMI]]&lt;30,"Overweight","Obese"))))</calculatedColumnFormula>
    </tableColumn>
    <tableColumn id="14" xr3:uid="{7E5462D5-58FE-4B47-A384-672EFB2852D3}" uniqueName="14" name="Age_Group" queryTableFieldId="14" dataDxfId="0">
      <calculatedColumnFormula>(IF(AND(B2&gt;=24,B2&lt;=36),"24-36 Months",
  IF(AND(B2&gt;=37,B2&lt;=48),"37-48 Months",
  IF(AND(B2&gt;=49,B2&lt;=60),"49-60 Months",
  "61+ Months"))))</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5A9F2-75BD-496B-8521-E4C8AF9BB1D3}">
  <dimension ref="A1:J101"/>
  <sheetViews>
    <sheetView zoomScale="88" zoomScaleNormal="88" workbookViewId="0">
      <selection activeCell="K1" sqref="K1"/>
    </sheetView>
  </sheetViews>
  <sheetFormatPr defaultRowHeight="14.4"/>
  <cols>
    <col min="2" max="2" width="13.6640625" customWidth="1"/>
    <col min="3" max="3" width="9" customWidth="1"/>
    <col min="4" max="5" width="11.88671875" customWidth="1"/>
    <col min="6" max="6" width="19.77734375" customWidth="1"/>
    <col min="7" max="7" width="21.6640625" customWidth="1"/>
    <col min="8" max="8" width="19" customWidth="1"/>
    <col min="9" max="9" width="18.5546875" customWidth="1"/>
  </cols>
  <sheetData>
    <row r="1" spans="1:10">
      <c r="A1" s="1" t="s">
        <v>0</v>
      </c>
      <c r="B1" s="1" t="s">
        <v>1</v>
      </c>
      <c r="C1" s="1" t="s">
        <v>2</v>
      </c>
      <c r="D1" s="1" t="s">
        <v>3</v>
      </c>
      <c r="E1" s="1" t="s">
        <v>4</v>
      </c>
      <c r="F1" s="1" t="s">
        <v>5</v>
      </c>
      <c r="G1" s="1" t="s">
        <v>6</v>
      </c>
      <c r="H1" s="1" t="s">
        <v>7</v>
      </c>
      <c r="I1" s="1" t="s">
        <v>8</v>
      </c>
      <c r="J1" s="1" t="s">
        <v>9</v>
      </c>
    </row>
    <row r="2" spans="1:10">
      <c r="A2" s="1" t="s">
        <v>10</v>
      </c>
      <c r="B2" s="1">
        <v>47</v>
      </c>
      <c r="C2" s="1" t="s">
        <v>11</v>
      </c>
      <c r="D2" s="1">
        <v>104.41</v>
      </c>
      <c r="E2" s="1">
        <v>17.34</v>
      </c>
      <c r="F2" s="1">
        <v>1</v>
      </c>
      <c r="G2" s="1">
        <v>2</v>
      </c>
      <c r="H2" s="1">
        <v>3</v>
      </c>
      <c r="I2" s="1">
        <v>1.2</v>
      </c>
      <c r="J2" s="1" t="s">
        <v>12</v>
      </c>
    </row>
    <row r="3" spans="1:10">
      <c r="A3" s="1" t="s">
        <v>13</v>
      </c>
      <c r="B3" s="1">
        <v>34</v>
      </c>
      <c r="C3" s="1" t="s">
        <v>11</v>
      </c>
      <c r="D3" s="1">
        <v>99.08</v>
      </c>
      <c r="E3" s="1">
        <v>16.21</v>
      </c>
      <c r="F3" s="1">
        <v>0</v>
      </c>
      <c r="G3" s="1">
        <v>1</v>
      </c>
      <c r="H3" s="1">
        <v>1</v>
      </c>
      <c r="I3" s="1">
        <v>1.4</v>
      </c>
      <c r="J3" s="1" t="s">
        <v>14</v>
      </c>
    </row>
    <row r="4" spans="1:10">
      <c r="A4" s="1" t="s">
        <v>15</v>
      </c>
      <c r="B4" s="1">
        <v>35</v>
      </c>
      <c r="C4" s="1" t="s">
        <v>11</v>
      </c>
      <c r="D4" s="1">
        <v>94.96</v>
      </c>
      <c r="E4" s="1">
        <v>17.3</v>
      </c>
      <c r="F4" s="1">
        <v>3</v>
      </c>
      <c r="G4" s="1">
        <v>3</v>
      </c>
      <c r="H4" s="1">
        <v>2</v>
      </c>
      <c r="I4" s="1">
        <v>0.6</v>
      </c>
      <c r="J4" s="1" t="s">
        <v>14</v>
      </c>
    </row>
    <row r="5" spans="1:10">
      <c r="A5" s="1" t="s">
        <v>16</v>
      </c>
      <c r="B5" s="1">
        <v>39</v>
      </c>
      <c r="C5" s="1" t="s">
        <v>11</v>
      </c>
      <c r="D5" s="1">
        <v>100.65</v>
      </c>
      <c r="E5" s="1">
        <v>20.010000000000002</v>
      </c>
      <c r="F5" s="1">
        <v>2</v>
      </c>
      <c r="G5" s="1">
        <v>0</v>
      </c>
      <c r="H5" s="1">
        <v>1</v>
      </c>
      <c r="I5" s="1">
        <v>1.5</v>
      </c>
      <c r="J5" s="1" t="s">
        <v>14</v>
      </c>
    </row>
    <row r="6" spans="1:10">
      <c r="A6" s="1" t="s">
        <v>17</v>
      </c>
      <c r="B6" s="1">
        <v>26</v>
      </c>
      <c r="C6" s="1" t="s">
        <v>11</v>
      </c>
      <c r="D6" s="1">
        <v>90.06</v>
      </c>
      <c r="E6" s="1">
        <v>12.16</v>
      </c>
      <c r="F6" s="1">
        <v>0</v>
      </c>
      <c r="G6" s="1">
        <v>1</v>
      </c>
      <c r="H6" s="1">
        <v>0</v>
      </c>
      <c r="I6" s="1">
        <v>0.9</v>
      </c>
      <c r="J6" s="1" t="s">
        <v>12</v>
      </c>
    </row>
    <row r="7" spans="1:10">
      <c r="A7" s="1" t="s">
        <v>18</v>
      </c>
      <c r="B7" s="1">
        <v>51</v>
      </c>
      <c r="C7" s="1" t="s">
        <v>19</v>
      </c>
      <c r="D7" s="1">
        <v>108.82</v>
      </c>
      <c r="E7" s="1">
        <v>21.54</v>
      </c>
      <c r="F7" s="1">
        <v>0</v>
      </c>
      <c r="G7" s="1">
        <v>1</v>
      </c>
      <c r="H7" s="1">
        <v>1</v>
      </c>
      <c r="I7" s="1">
        <v>0.9</v>
      </c>
      <c r="J7" s="1" t="s">
        <v>20</v>
      </c>
    </row>
    <row r="8" spans="1:10">
      <c r="A8" s="1" t="s">
        <v>21</v>
      </c>
      <c r="B8" s="1">
        <v>52</v>
      </c>
      <c r="C8" s="1" t="s">
        <v>19</v>
      </c>
      <c r="D8" s="1">
        <v>110.28</v>
      </c>
      <c r="E8" s="1">
        <v>21.49</v>
      </c>
      <c r="F8" s="1">
        <v>4</v>
      </c>
      <c r="G8" s="1">
        <v>0</v>
      </c>
      <c r="H8" s="1">
        <v>2</v>
      </c>
      <c r="I8" s="1">
        <v>2.8</v>
      </c>
      <c r="J8" s="1" t="s">
        <v>12</v>
      </c>
    </row>
    <row r="9" spans="1:10">
      <c r="A9" s="1" t="s">
        <v>22</v>
      </c>
      <c r="B9" s="1">
        <v>52</v>
      </c>
      <c r="C9" s="1" t="s">
        <v>11</v>
      </c>
      <c r="D9" s="1">
        <v>102.65</v>
      </c>
      <c r="E9" s="1">
        <v>19.55</v>
      </c>
      <c r="F9" s="1">
        <v>2</v>
      </c>
      <c r="G9" s="1">
        <v>2</v>
      </c>
      <c r="H9" s="1">
        <v>1</v>
      </c>
      <c r="I9" s="1">
        <v>1.3</v>
      </c>
      <c r="J9" s="1" t="s">
        <v>14</v>
      </c>
    </row>
    <row r="10" spans="1:10">
      <c r="A10" s="1" t="s">
        <v>23</v>
      </c>
      <c r="B10" s="1">
        <v>28</v>
      </c>
      <c r="C10" s="1" t="s">
        <v>19</v>
      </c>
      <c r="D10" s="1">
        <v>91.47</v>
      </c>
      <c r="E10" s="1">
        <v>16.39</v>
      </c>
      <c r="F10" s="1">
        <v>3</v>
      </c>
      <c r="G10" s="1">
        <v>2</v>
      </c>
      <c r="H10" s="1">
        <v>3</v>
      </c>
      <c r="I10" s="1">
        <v>0.8</v>
      </c>
      <c r="J10" s="1" t="s">
        <v>24</v>
      </c>
    </row>
    <row r="11" spans="1:10">
      <c r="A11" s="1" t="s">
        <v>25</v>
      </c>
      <c r="B11" s="1">
        <v>44</v>
      </c>
      <c r="C11" s="1" t="s">
        <v>11</v>
      </c>
      <c r="D11" s="1">
        <v>111.89</v>
      </c>
      <c r="E11" s="1">
        <v>17.95</v>
      </c>
      <c r="F11" s="1">
        <v>1</v>
      </c>
      <c r="G11" s="1">
        <v>3</v>
      </c>
      <c r="H11" s="1">
        <v>0</v>
      </c>
      <c r="I11" s="1">
        <v>0.8</v>
      </c>
      <c r="J11" s="1" t="s">
        <v>14</v>
      </c>
    </row>
    <row r="12" spans="1:10">
      <c r="A12" s="1" t="s">
        <v>26</v>
      </c>
      <c r="B12" s="1">
        <v>25</v>
      </c>
      <c r="C12" s="1" t="s">
        <v>19</v>
      </c>
      <c r="D12" s="1">
        <v>96.25</v>
      </c>
      <c r="E12" s="1">
        <v>13.5</v>
      </c>
      <c r="F12" s="1">
        <v>3</v>
      </c>
      <c r="G12" s="1">
        <v>4</v>
      </c>
      <c r="H12" s="1">
        <v>0</v>
      </c>
      <c r="I12" s="1">
        <v>0.6</v>
      </c>
      <c r="J12" s="1" t="s">
        <v>27</v>
      </c>
    </row>
    <row r="13" spans="1:10">
      <c r="A13" s="1" t="s">
        <v>28</v>
      </c>
      <c r="B13" s="1">
        <v>32</v>
      </c>
      <c r="C13" s="1" t="s">
        <v>11</v>
      </c>
      <c r="D13" s="1">
        <v>96.02</v>
      </c>
      <c r="E13" s="1">
        <v>16.55</v>
      </c>
      <c r="F13" s="1">
        <v>2</v>
      </c>
      <c r="G13" s="1">
        <v>0</v>
      </c>
      <c r="H13" s="1">
        <v>2</v>
      </c>
      <c r="I13" s="1">
        <v>1</v>
      </c>
      <c r="J13" s="1" t="s">
        <v>24</v>
      </c>
    </row>
    <row r="14" spans="1:10">
      <c r="A14" s="1" t="s">
        <v>29</v>
      </c>
      <c r="B14" s="1">
        <v>34</v>
      </c>
      <c r="C14" s="1" t="s">
        <v>19</v>
      </c>
      <c r="D14" s="1">
        <v>97.37</v>
      </c>
      <c r="E14" s="1">
        <v>15.55</v>
      </c>
      <c r="F14" s="1">
        <v>0</v>
      </c>
      <c r="G14" s="1">
        <v>1</v>
      </c>
      <c r="H14" s="1">
        <v>2</v>
      </c>
      <c r="I14" s="1">
        <v>1.3</v>
      </c>
      <c r="J14" s="1" t="s">
        <v>20</v>
      </c>
    </row>
    <row r="15" spans="1:10">
      <c r="A15" s="1" t="s">
        <v>30</v>
      </c>
      <c r="B15" s="1">
        <v>49</v>
      </c>
      <c r="C15" s="1" t="s">
        <v>19</v>
      </c>
      <c r="D15" s="1">
        <v>108.39</v>
      </c>
      <c r="E15" s="1">
        <v>20.100000000000001</v>
      </c>
      <c r="F15" s="1">
        <v>0</v>
      </c>
      <c r="G15" s="1">
        <v>2</v>
      </c>
      <c r="H15" s="1">
        <v>3</v>
      </c>
      <c r="I15" s="1">
        <v>0.6</v>
      </c>
      <c r="J15" s="1" t="s">
        <v>20</v>
      </c>
    </row>
    <row r="16" spans="1:10">
      <c r="A16" s="1" t="s">
        <v>31</v>
      </c>
      <c r="B16" s="1">
        <v>25</v>
      </c>
      <c r="C16" s="1" t="s">
        <v>19</v>
      </c>
      <c r="D16" s="1">
        <v>92.58</v>
      </c>
      <c r="E16" s="1">
        <v>15.13</v>
      </c>
      <c r="F16" s="1">
        <v>2</v>
      </c>
      <c r="G16" s="1">
        <v>2</v>
      </c>
      <c r="H16" s="1">
        <v>2</v>
      </c>
      <c r="I16" s="1">
        <v>1.6</v>
      </c>
      <c r="J16" s="1" t="s">
        <v>14</v>
      </c>
    </row>
    <row r="17" spans="1:10">
      <c r="A17" s="1" t="s">
        <v>32</v>
      </c>
      <c r="B17" s="1">
        <v>38</v>
      </c>
      <c r="C17" s="1" t="s">
        <v>19</v>
      </c>
      <c r="D17" s="1">
        <v>99.65</v>
      </c>
      <c r="E17" s="1">
        <v>16.940000000000001</v>
      </c>
      <c r="F17" s="1">
        <v>1</v>
      </c>
      <c r="G17" s="1">
        <v>3</v>
      </c>
      <c r="H17" s="1">
        <v>3</v>
      </c>
      <c r="I17" s="1">
        <v>2.1</v>
      </c>
      <c r="J17" s="1" t="s">
        <v>14</v>
      </c>
    </row>
    <row r="18" spans="1:10">
      <c r="A18" s="1" t="s">
        <v>33</v>
      </c>
      <c r="B18" s="1">
        <v>38</v>
      </c>
      <c r="C18" s="1" t="s">
        <v>11</v>
      </c>
      <c r="D18" s="1">
        <v>98.91</v>
      </c>
      <c r="E18" s="1">
        <v>19.489999999999998</v>
      </c>
      <c r="F18" s="1">
        <v>0</v>
      </c>
      <c r="G18" s="1">
        <v>0</v>
      </c>
      <c r="H18" s="1">
        <v>3</v>
      </c>
      <c r="I18" s="1">
        <v>3.1</v>
      </c>
      <c r="J18" s="1" t="s">
        <v>14</v>
      </c>
    </row>
    <row r="19" spans="1:10">
      <c r="A19" s="1" t="s">
        <v>34</v>
      </c>
      <c r="B19" s="1">
        <v>25</v>
      </c>
      <c r="C19" s="1" t="s">
        <v>11</v>
      </c>
      <c r="D19" s="1">
        <v>96.42</v>
      </c>
      <c r="E19" s="1">
        <v>14.69</v>
      </c>
      <c r="F19" s="1">
        <v>1</v>
      </c>
      <c r="G19" s="1">
        <v>3</v>
      </c>
      <c r="H19" s="1">
        <v>2</v>
      </c>
      <c r="I19" s="1">
        <v>1.2</v>
      </c>
      <c r="J19" s="1" t="s">
        <v>24</v>
      </c>
    </row>
    <row r="20" spans="1:10">
      <c r="A20" s="1" t="s">
        <v>35</v>
      </c>
      <c r="B20" s="1">
        <v>57</v>
      </c>
      <c r="C20" s="1" t="s">
        <v>11</v>
      </c>
      <c r="D20" s="1">
        <v>109.26</v>
      </c>
      <c r="E20" s="1">
        <v>20.61</v>
      </c>
      <c r="F20" s="1">
        <v>3</v>
      </c>
      <c r="G20" s="1">
        <v>2</v>
      </c>
      <c r="H20" s="1">
        <v>1</v>
      </c>
      <c r="I20" s="1">
        <v>2</v>
      </c>
      <c r="J20" s="1" t="s">
        <v>20</v>
      </c>
    </row>
    <row r="21" spans="1:10">
      <c r="A21" s="1" t="s">
        <v>36</v>
      </c>
      <c r="B21" s="1">
        <v>34</v>
      </c>
      <c r="C21" s="1" t="s">
        <v>19</v>
      </c>
      <c r="D21" s="1">
        <v>98.22</v>
      </c>
      <c r="E21" s="1">
        <v>15.49</v>
      </c>
      <c r="F21" s="1">
        <v>1</v>
      </c>
      <c r="G21" s="1">
        <v>2</v>
      </c>
      <c r="H21" s="1">
        <v>0</v>
      </c>
      <c r="I21" s="1">
        <v>0.8</v>
      </c>
      <c r="J21" s="1" t="s">
        <v>14</v>
      </c>
    </row>
    <row r="22" spans="1:10">
      <c r="A22" s="1" t="s">
        <v>37</v>
      </c>
      <c r="B22" s="1">
        <v>35</v>
      </c>
      <c r="C22" s="1" t="s">
        <v>11</v>
      </c>
      <c r="D22" s="1">
        <v>101.02</v>
      </c>
      <c r="E22" s="1">
        <v>16.760000000000002</v>
      </c>
      <c r="F22" s="1">
        <v>3</v>
      </c>
      <c r="G22" s="1">
        <v>2</v>
      </c>
      <c r="H22" s="1">
        <v>2</v>
      </c>
      <c r="I22" s="1">
        <v>1.9</v>
      </c>
      <c r="J22" s="1" t="s">
        <v>12</v>
      </c>
    </row>
    <row r="23" spans="1:10">
      <c r="A23" s="1" t="s">
        <v>38</v>
      </c>
      <c r="B23" s="1">
        <v>56</v>
      </c>
      <c r="C23" s="1" t="s">
        <v>19</v>
      </c>
      <c r="D23" s="1">
        <v>111.44</v>
      </c>
      <c r="E23" s="1">
        <v>21.87</v>
      </c>
      <c r="F23" s="1">
        <v>4</v>
      </c>
      <c r="G23" s="1">
        <v>1</v>
      </c>
      <c r="H23" s="1">
        <v>2</v>
      </c>
      <c r="I23" s="1">
        <v>1.9</v>
      </c>
      <c r="J23" s="1" t="s">
        <v>20</v>
      </c>
    </row>
    <row r="24" spans="1:10">
      <c r="A24" s="1" t="s">
        <v>39</v>
      </c>
      <c r="B24" s="1">
        <v>46</v>
      </c>
      <c r="C24" s="1" t="s">
        <v>19</v>
      </c>
      <c r="D24" s="1">
        <v>103.85</v>
      </c>
      <c r="E24" s="1">
        <v>19.47</v>
      </c>
      <c r="F24" s="1">
        <v>2</v>
      </c>
      <c r="G24" s="1">
        <v>4</v>
      </c>
      <c r="H24" s="1">
        <v>3</v>
      </c>
      <c r="I24" s="1">
        <v>2.9</v>
      </c>
      <c r="J24" s="1" t="s">
        <v>20</v>
      </c>
    </row>
    <row r="25" spans="1:10">
      <c r="A25" s="1" t="s">
        <v>40</v>
      </c>
      <c r="B25" s="1">
        <v>35</v>
      </c>
      <c r="C25" s="1" t="s">
        <v>11</v>
      </c>
      <c r="D25" s="1">
        <v>102.67</v>
      </c>
      <c r="E25" s="1">
        <v>13.79</v>
      </c>
      <c r="F25" s="1">
        <v>4</v>
      </c>
      <c r="G25" s="1">
        <v>1</v>
      </c>
      <c r="H25" s="1">
        <v>1</v>
      </c>
      <c r="I25" s="1">
        <v>2</v>
      </c>
      <c r="J25" s="1" t="s">
        <v>14</v>
      </c>
    </row>
    <row r="26" spans="1:10">
      <c r="A26" s="1" t="s">
        <v>41</v>
      </c>
      <c r="B26" s="1">
        <v>52</v>
      </c>
      <c r="C26" s="1" t="s">
        <v>19</v>
      </c>
      <c r="D26" s="1">
        <v>107.91</v>
      </c>
      <c r="E26" s="1">
        <v>19.27</v>
      </c>
      <c r="F26" s="1">
        <v>4</v>
      </c>
      <c r="G26" s="1">
        <v>0</v>
      </c>
      <c r="H26" s="1">
        <v>0</v>
      </c>
      <c r="I26" s="1">
        <v>0.8</v>
      </c>
      <c r="J26" s="1" t="s">
        <v>20</v>
      </c>
    </row>
    <row r="27" spans="1:10">
      <c r="A27" s="1" t="s">
        <v>42</v>
      </c>
      <c r="B27" s="1">
        <v>30</v>
      </c>
      <c r="C27" s="1" t="s">
        <v>11</v>
      </c>
      <c r="D27" s="1">
        <v>96.67</v>
      </c>
      <c r="E27" s="1">
        <v>15.72</v>
      </c>
      <c r="F27" s="1">
        <v>3</v>
      </c>
      <c r="G27" s="1">
        <v>1</v>
      </c>
      <c r="H27" s="1">
        <v>2</v>
      </c>
      <c r="I27" s="1">
        <v>1.2</v>
      </c>
      <c r="J27" s="1" t="s">
        <v>24</v>
      </c>
    </row>
    <row r="28" spans="1:10">
      <c r="A28" s="1" t="s">
        <v>43</v>
      </c>
      <c r="B28" s="1">
        <v>35</v>
      </c>
      <c r="C28" s="1" t="s">
        <v>19</v>
      </c>
      <c r="D28" s="1">
        <v>101.41</v>
      </c>
      <c r="E28" s="1">
        <v>19.45</v>
      </c>
      <c r="F28" s="1">
        <v>0</v>
      </c>
      <c r="G28" s="1">
        <v>4</v>
      </c>
      <c r="H28" s="1">
        <v>2</v>
      </c>
      <c r="I28" s="1">
        <v>1.9</v>
      </c>
      <c r="J28" s="1" t="s">
        <v>12</v>
      </c>
    </row>
    <row r="29" spans="1:10">
      <c r="A29" s="1" t="s">
        <v>44</v>
      </c>
      <c r="B29" s="1">
        <v>32</v>
      </c>
      <c r="C29" s="1" t="s">
        <v>11</v>
      </c>
      <c r="D29" s="1">
        <v>102.28</v>
      </c>
      <c r="E29" s="1">
        <v>11.75</v>
      </c>
      <c r="F29" s="1">
        <v>2</v>
      </c>
      <c r="G29" s="1">
        <v>1</v>
      </c>
      <c r="H29" s="1">
        <v>1</v>
      </c>
      <c r="I29" s="1">
        <v>1.3</v>
      </c>
      <c r="J29" s="1" t="s">
        <v>20</v>
      </c>
    </row>
    <row r="30" spans="1:10">
      <c r="A30" s="1" t="s">
        <v>45</v>
      </c>
      <c r="B30" s="1">
        <v>46</v>
      </c>
      <c r="C30" s="1" t="s">
        <v>19</v>
      </c>
      <c r="D30" s="1">
        <v>105.06</v>
      </c>
      <c r="E30" s="1">
        <v>17.260000000000002</v>
      </c>
      <c r="F30" s="1">
        <v>4</v>
      </c>
      <c r="G30" s="1">
        <v>1</v>
      </c>
      <c r="H30" s="1">
        <v>2</v>
      </c>
      <c r="I30" s="1">
        <v>0.8</v>
      </c>
      <c r="J30" s="1" t="s">
        <v>14</v>
      </c>
    </row>
    <row r="31" spans="1:10">
      <c r="A31" s="1" t="s">
        <v>46</v>
      </c>
      <c r="B31" s="1">
        <v>43</v>
      </c>
      <c r="C31" s="1" t="s">
        <v>19</v>
      </c>
      <c r="D31" s="1">
        <v>103.22</v>
      </c>
      <c r="E31" s="1">
        <v>20.74</v>
      </c>
      <c r="F31" s="1">
        <v>2</v>
      </c>
      <c r="G31" s="1">
        <v>2</v>
      </c>
      <c r="H31" s="1">
        <v>3</v>
      </c>
      <c r="I31" s="1">
        <v>2.1</v>
      </c>
      <c r="J31" s="1" t="s">
        <v>12</v>
      </c>
    </row>
    <row r="32" spans="1:10">
      <c r="A32" s="1" t="s">
        <v>47</v>
      </c>
      <c r="B32" s="1">
        <v>46</v>
      </c>
      <c r="C32" s="1" t="s">
        <v>11</v>
      </c>
      <c r="D32" s="1">
        <v>105.42</v>
      </c>
      <c r="E32" s="1">
        <v>20.23</v>
      </c>
      <c r="F32" s="1">
        <v>4</v>
      </c>
      <c r="G32" s="1">
        <v>0</v>
      </c>
      <c r="H32" s="1">
        <v>2</v>
      </c>
      <c r="I32" s="1">
        <v>2.2999999999999998</v>
      </c>
      <c r="J32" s="1" t="s">
        <v>27</v>
      </c>
    </row>
    <row r="33" spans="1:10">
      <c r="A33" s="1" t="s">
        <v>48</v>
      </c>
      <c r="B33" s="1">
        <v>32</v>
      </c>
      <c r="C33" s="1" t="s">
        <v>19</v>
      </c>
      <c r="D33" s="1">
        <v>97.29</v>
      </c>
      <c r="E33" s="1">
        <v>12.89</v>
      </c>
      <c r="F33" s="1">
        <v>4</v>
      </c>
      <c r="G33" s="1">
        <v>2</v>
      </c>
      <c r="H33" s="1">
        <v>2</v>
      </c>
      <c r="I33" s="1">
        <v>1.3</v>
      </c>
      <c r="J33" s="1" t="s">
        <v>14</v>
      </c>
    </row>
    <row r="34" spans="1:10">
      <c r="A34" s="1" t="s">
        <v>49</v>
      </c>
      <c r="B34" s="1">
        <v>46</v>
      </c>
      <c r="C34" s="1" t="s">
        <v>19</v>
      </c>
      <c r="D34" s="1">
        <v>106.22</v>
      </c>
      <c r="E34" s="1">
        <v>19.48</v>
      </c>
      <c r="F34" s="1">
        <v>4</v>
      </c>
      <c r="G34" s="1">
        <v>3</v>
      </c>
      <c r="H34" s="1">
        <v>0</v>
      </c>
      <c r="I34" s="1">
        <v>0.7</v>
      </c>
      <c r="J34" s="1" t="s">
        <v>12</v>
      </c>
    </row>
    <row r="35" spans="1:10">
      <c r="A35" s="1" t="s">
        <v>50</v>
      </c>
      <c r="B35" s="1">
        <v>56</v>
      </c>
      <c r="C35" s="1" t="s">
        <v>11</v>
      </c>
      <c r="D35" s="1">
        <v>114.63</v>
      </c>
      <c r="E35" s="1">
        <v>20.11</v>
      </c>
      <c r="F35" s="1">
        <v>2</v>
      </c>
      <c r="G35" s="1">
        <v>1</v>
      </c>
      <c r="H35" s="1">
        <v>0</v>
      </c>
      <c r="I35" s="1">
        <v>0.8</v>
      </c>
      <c r="J35" s="1" t="s">
        <v>27</v>
      </c>
    </row>
    <row r="36" spans="1:10">
      <c r="A36" s="1" t="s">
        <v>51</v>
      </c>
      <c r="B36" s="1">
        <v>30</v>
      </c>
      <c r="C36" s="1" t="s">
        <v>11</v>
      </c>
      <c r="D36" s="1">
        <v>93.15</v>
      </c>
      <c r="E36" s="1">
        <v>14.24</v>
      </c>
      <c r="F36" s="1">
        <v>1</v>
      </c>
      <c r="G36" s="1">
        <v>1</v>
      </c>
      <c r="H36" s="1">
        <v>2</v>
      </c>
      <c r="I36" s="1">
        <v>1.3</v>
      </c>
      <c r="J36" s="1" t="s">
        <v>14</v>
      </c>
    </row>
    <row r="37" spans="1:10">
      <c r="A37" s="1" t="s">
        <v>52</v>
      </c>
      <c r="B37" s="1">
        <v>44</v>
      </c>
      <c r="C37" s="1" t="s">
        <v>11</v>
      </c>
      <c r="D37" s="1">
        <v>102.36</v>
      </c>
      <c r="E37" s="1">
        <v>19.600000000000001</v>
      </c>
      <c r="F37" s="1">
        <v>1</v>
      </c>
      <c r="G37" s="1">
        <v>2</v>
      </c>
      <c r="H37" s="1">
        <v>0</v>
      </c>
      <c r="I37" s="1">
        <v>0.9</v>
      </c>
      <c r="J37" s="1" t="s">
        <v>27</v>
      </c>
    </row>
    <row r="38" spans="1:10">
      <c r="A38" s="1" t="s">
        <v>53</v>
      </c>
      <c r="B38" s="1">
        <v>43</v>
      </c>
      <c r="C38" s="1" t="s">
        <v>11</v>
      </c>
      <c r="D38" s="1">
        <v>105.34</v>
      </c>
      <c r="E38" s="1">
        <v>14.14</v>
      </c>
      <c r="F38" s="1">
        <v>4</v>
      </c>
      <c r="G38" s="1">
        <v>3</v>
      </c>
      <c r="H38" s="1">
        <v>0</v>
      </c>
      <c r="I38" s="1">
        <v>0.8</v>
      </c>
      <c r="J38" s="1" t="s">
        <v>20</v>
      </c>
    </row>
    <row r="39" spans="1:10">
      <c r="A39" s="1" t="s">
        <v>54</v>
      </c>
      <c r="B39" s="1">
        <v>31</v>
      </c>
      <c r="C39" s="1" t="s">
        <v>11</v>
      </c>
      <c r="D39" s="1">
        <v>96.26</v>
      </c>
      <c r="E39" s="1">
        <v>17.63</v>
      </c>
      <c r="F39" s="1">
        <v>3</v>
      </c>
      <c r="G39" s="1">
        <v>3</v>
      </c>
      <c r="H39" s="1">
        <v>2</v>
      </c>
      <c r="I39" s="1">
        <v>1.7</v>
      </c>
      <c r="J39" s="1" t="s">
        <v>20</v>
      </c>
    </row>
    <row r="40" spans="1:10">
      <c r="A40" s="1" t="s">
        <v>55</v>
      </c>
      <c r="B40" s="1">
        <v>28</v>
      </c>
      <c r="C40" s="1" t="s">
        <v>19</v>
      </c>
      <c r="D40" s="1">
        <v>97.25</v>
      </c>
      <c r="E40" s="1">
        <v>14.98</v>
      </c>
      <c r="F40" s="1">
        <v>3</v>
      </c>
      <c r="G40" s="1">
        <v>4</v>
      </c>
      <c r="H40" s="1">
        <v>3</v>
      </c>
      <c r="I40" s="1">
        <v>3.2</v>
      </c>
      <c r="J40" s="1" t="s">
        <v>14</v>
      </c>
    </row>
    <row r="41" spans="1:10">
      <c r="A41" s="1" t="s">
        <v>56</v>
      </c>
      <c r="B41" s="1">
        <v>48</v>
      </c>
      <c r="C41" s="1" t="s">
        <v>19</v>
      </c>
      <c r="D41" s="1">
        <v>108.23</v>
      </c>
      <c r="E41" s="1">
        <v>21</v>
      </c>
      <c r="F41" s="1">
        <v>3</v>
      </c>
      <c r="G41" s="1">
        <v>4</v>
      </c>
      <c r="H41" s="1">
        <v>0</v>
      </c>
      <c r="I41" s="1">
        <v>0.6</v>
      </c>
      <c r="J41" s="1" t="s">
        <v>14</v>
      </c>
    </row>
    <row r="42" spans="1:10">
      <c r="A42" s="1" t="s">
        <v>57</v>
      </c>
      <c r="B42" s="1">
        <v>27</v>
      </c>
      <c r="C42" s="1" t="s">
        <v>19</v>
      </c>
      <c r="D42" s="1">
        <v>97</v>
      </c>
      <c r="E42" s="1">
        <v>15.12</v>
      </c>
      <c r="F42" s="1">
        <v>4</v>
      </c>
      <c r="G42" s="1">
        <v>0</v>
      </c>
      <c r="H42" s="1">
        <v>1</v>
      </c>
      <c r="I42" s="1">
        <v>1.7</v>
      </c>
      <c r="J42" s="1" t="s">
        <v>24</v>
      </c>
    </row>
    <row r="43" spans="1:10">
      <c r="A43" s="1" t="s">
        <v>58</v>
      </c>
      <c r="B43" s="1">
        <v>45</v>
      </c>
      <c r="C43" s="1" t="s">
        <v>19</v>
      </c>
      <c r="D43" s="1">
        <v>107.27</v>
      </c>
      <c r="E43" s="1">
        <v>22.7</v>
      </c>
      <c r="F43" s="1">
        <v>4</v>
      </c>
      <c r="G43" s="1">
        <v>0</v>
      </c>
      <c r="H43" s="1">
        <v>0</v>
      </c>
      <c r="I43" s="1">
        <v>0.8</v>
      </c>
      <c r="J43" s="1" t="s">
        <v>12</v>
      </c>
    </row>
    <row r="44" spans="1:10">
      <c r="A44" s="1" t="s">
        <v>59</v>
      </c>
      <c r="B44" s="1">
        <v>54</v>
      </c>
      <c r="C44" s="1" t="s">
        <v>19</v>
      </c>
      <c r="D44" s="1">
        <v>112.46</v>
      </c>
      <c r="E44" s="1">
        <v>21.36</v>
      </c>
      <c r="F44" s="1">
        <v>2</v>
      </c>
      <c r="G44" s="1">
        <v>0</v>
      </c>
      <c r="H44" s="1">
        <v>1</v>
      </c>
      <c r="I44" s="1">
        <v>1</v>
      </c>
      <c r="J44" s="1" t="s">
        <v>14</v>
      </c>
    </row>
    <row r="45" spans="1:10">
      <c r="A45" s="1" t="s">
        <v>60</v>
      </c>
      <c r="B45" s="1">
        <v>40</v>
      </c>
      <c r="C45" s="1" t="s">
        <v>19</v>
      </c>
      <c r="D45" s="1">
        <v>103.32</v>
      </c>
      <c r="E45" s="1">
        <v>17.41</v>
      </c>
      <c r="F45" s="1">
        <v>1</v>
      </c>
      <c r="G45" s="1">
        <v>0</v>
      </c>
      <c r="H45" s="1">
        <v>2</v>
      </c>
      <c r="I45" s="1">
        <v>2</v>
      </c>
      <c r="J45" s="1" t="s">
        <v>20</v>
      </c>
    </row>
    <row r="46" spans="1:10">
      <c r="A46" s="1" t="s">
        <v>61</v>
      </c>
      <c r="B46" s="1">
        <v>52</v>
      </c>
      <c r="C46" s="1" t="s">
        <v>11</v>
      </c>
      <c r="D46" s="1">
        <v>107.31</v>
      </c>
      <c r="E46" s="1">
        <v>17.34</v>
      </c>
      <c r="F46" s="1">
        <v>1</v>
      </c>
      <c r="G46" s="1">
        <v>3</v>
      </c>
      <c r="H46" s="1">
        <v>0</v>
      </c>
      <c r="I46" s="1">
        <v>0.5</v>
      </c>
      <c r="J46" s="1" t="s">
        <v>24</v>
      </c>
    </row>
    <row r="47" spans="1:10">
      <c r="A47" s="1" t="s">
        <v>62</v>
      </c>
      <c r="B47" s="1">
        <v>34</v>
      </c>
      <c r="C47" s="1" t="s">
        <v>19</v>
      </c>
      <c r="D47" s="1">
        <v>99.12</v>
      </c>
      <c r="E47" s="1">
        <v>17.43</v>
      </c>
      <c r="F47" s="1">
        <v>3</v>
      </c>
      <c r="G47" s="1">
        <v>4</v>
      </c>
      <c r="H47" s="1">
        <v>3</v>
      </c>
      <c r="I47" s="1">
        <v>1.6</v>
      </c>
      <c r="J47" s="1" t="s">
        <v>12</v>
      </c>
    </row>
    <row r="48" spans="1:10">
      <c r="A48" s="1" t="s">
        <v>63</v>
      </c>
      <c r="B48" s="1">
        <v>27</v>
      </c>
      <c r="C48" s="1" t="s">
        <v>19</v>
      </c>
      <c r="D48" s="1">
        <v>93.16</v>
      </c>
      <c r="E48" s="1">
        <v>15.53</v>
      </c>
      <c r="F48" s="1">
        <v>2</v>
      </c>
      <c r="G48" s="1">
        <v>2</v>
      </c>
      <c r="H48" s="1">
        <v>0</v>
      </c>
      <c r="I48" s="1">
        <v>0.8</v>
      </c>
      <c r="J48" s="1" t="s">
        <v>14</v>
      </c>
    </row>
    <row r="49" spans="1:10">
      <c r="A49" s="1" t="s">
        <v>64</v>
      </c>
      <c r="B49" s="1">
        <v>55</v>
      </c>
      <c r="C49" s="1" t="s">
        <v>19</v>
      </c>
      <c r="D49" s="1">
        <v>111.49</v>
      </c>
      <c r="E49" s="1">
        <v>20.23</v>
      </c>
      <c r="F49" s="1">
        <v>1</v>
      </c>
      <c r="G49" s="1">
        <v>0</v>
      </c>
      <c r="H49" s="1">
        <v>1</v>
      </c>
      <c r="I49" s="1">
        <v>1.6</v>
      </c>
      <c r="J49" s="1" t="s">
        <v>24</v>
      </c>
    </row>
    <row r="50" spans="1:10">
      <c r="A50" s="1" t="s">
        <v>65</v>
      </c>
      <c r="B50" s="1">
        <v>42</v>
      </c>
      <c r="C50" s="1" t="s">
        <v>11</v>
      </c>
      <c r="D50" s="1">
        <v>108.71</v>
      </c>
      <c r="E50" s="1">
        <v>16.2</v>
      </c>
      <c r="F50" s="1">
        <v>2</v>
      </c>
      <c r="G50" s="1">
        <v>1</v>
      </c>
      <c r="H50" s="1">
        <v>3</v>
      </c>
      <c r="I50" s="1">
        <v>1.1000000000000001</v>
      </c>
      <c r="J50" s="1" t="s">
        <v>24</v>
      </c>
    </row>
    <row r="51" spans="1:10">
      <c r="A51" s="1" t="s">
        <v>66</v>
      </c>
      <c r="B51" s="1">
        <v>36</v>
      </c>
      <c r="C51" s="1" t="s">
        <v>11</v>
      </c>
      <c r="D51" s="1">
        <v>97.21</v>
      </c>
      <c r="E51" s="1">
        <v>13.41</v>
      </c>
      <c r="F51" s="1">
        <v>4</v>
      </c>
      <c r="G51" s="1">
        <v>3</v>
      </c>
      <c r="H51" s="1">
        <v>1</v>
      </c>
      <c r="I51" s="1">
        <v>0.9</v>
      </c>
      <c r="J51" s="1" t="s">
        <v>14</v>
      </c>
    </row>
    <row r="52" spans="1:10">
      <c r="A52" s="1" t="s">
        <v>67</v>
      </c>
      <c r="B52" s="1">
        <v>34</v>
      </c>
      <c r="C52" s="1" t="s">
        <v>11</v>
      </c>
      <c r="D52" s="1">
        <v>98.46</v>
      </c>
      <c r="E52" s="1">
        <v>15.38</v>
      </c>
      <c r="F52" s="1">
        <v>3</v>
      </c>
      <c r="G52" s="1">
        <v>2</v>
      </c>
      <c r="H52" s="1">
        <v>2</v>
      </c>
      <c r="I52" s="1">
        <v>1.2</v>
      </c>
      <c r="J52" s="1" t="s">
        <v>12</v>
      </c>
    </row>
    <row r="53" spans="1:10">
      <c r="A53" s="1" t="s">
        <v>68</v>
      </c>
      <c r="B53" s="1">
        <v>40</v>
      </c>
      <c r="C53" s="1" t="s">
        <v>11</v>
      </c>
      <c r="D53" s="1">
        <v>100.6</v>
      </c>
      <c r="E53" s="1">
        <v>17.309999999999999</v>
      </c>
      <c r="F53" s="1">
        <v>0</v>
      </c>
      <c r="G53" s="1">
        <v>3</v>
      </c>
      <c r="H53" s="1">
        <v>0</v>
      </c>
      <c r="I53" s="1">
        <v>0.6</v>
      </c>
      <c r="J53" s="1" t="s">
        <v>27</v>
      </c>
    </row>
    <row r="54" spans="1:10">
      <c r="A54" s="1" t="s">
        <v>69</v>
      </c>
      <c r="B54" s="1">
        <v>39</v>
      </c>
      <c r="C54" s="1" t="s">
        <v>11</v>
      </c>
      <c r="D54" s="1">
        <v>96.54</v>
      </c>
      <c r="E54" s="1">
        <v>18.239999999999998</v>
      </c>
      <c r="F54" s="1">
        <v>4</v>
      </c>
      <c r="G54" s="1">
        <v>3</v>
      </c>
      <c r="H54" s="1">
        <v>1</v>
      </c>
      <c r="I54" s="1">
        <v>1.9</v>
      </c>
      <c r="J54" s="1" t="s">
        <v>27</v>
      </c>
    </row>
    <row r="55" spans="1:10">
      <c r="A55" s="1" t="s">
        <v>70</v>
      </c>
      <c r="B55" s="1">
        <v>57</v>
      </c>
      <c r="C55" s="1" t="s">
        <v>19</v>
      </c>
      <c r="D55" s="1">
        <v>110.58</v>
      </c>
      <c r="E55" s="1">
        <v>21.99</v>
      </c>
      <c r="F55" s="1">
        <v>3</v>
      </c>
      <c r="G55" s="1">
        <v>0</v>
      </c>
      <c r="H55" s="1">
        <v>0</v>
      </c>
      <c r="I55" s="1">
        <v>0.9</v>
      </c>
      <c r="J55" s="1" t="s">
        <v>12</v>
      </c>
    </row>
    <row r="56" spans="1:10">
      <c r="A56" s="1" t="s">
        <v>71</v>
      </c>
      <c r="B56" s="1">
        <v>50</v>
      </c>
      <c r="C56" s="1" t="s">
        <v>11</v>
      </c>
      <c r="D56" s="1">
        <v>114.47</v>
      </c>
      <c r="E56" s="1">
        <v>18.010000000000002</v>
      </c>
      <c r="F56" s="1">
        <v>1</v>
      </c>
      <c r="G56" s="1">
        <v>3</v>
      </c>
      <c r="H56" s="1">
        <v>0</v>
      </c>
      <c r="I56" s="1">
        <v>0.6</v>
      </c>
      <c r="J56" s="1" t="s">
        <v>24</v>
      </c>
    </row>
    <row r="57" spans="1:10">
      <c r="A57" s="1" t="s">
        <v>72</v>
      </c>
      <c r="B57" s="1">
        <v>31</v>
      </c>
      <c r="C57" s="1" t="s">
        <v>11</v>
      </c>
      <c r="D57" s="1">
        <v>96.28</v>
      </c>
      <c r="E57" s="1">
        <v>16.84</v>
      </c>
      <c r="F57" s="1">
        <v>4</v>
      </c>
      <c r="G57" s="1">
        <v>2</v>
      </c>
      <c r="H57" s="1">
        <v>3</v>
      </c>
      <c r="I57" s="1">
        <v>0.5</v>
      </c>
      <c r="J57" s="1" t="s">
        <v>20</v>
      </c>
    </row>
    <row r="58" spans="1:10">
      <c r="A58" s="1" t="s">
        <v>73</v>
      </c>
      <c r="B58" s="1">
        <v>44</v>
      </c>
      <c r="C58" s="1" t="s">
        <v>11</v>
      </c>
      <c r="D58" s="1">
        <v>104.76</v>
      </c>
      <c r="E58" s="1">
        <v>18.399999999999999</v>
      </c>
      <c r="F58" s="1">
        <v>4</v>
      </c>
      <c r="G58" s="1">
        <v>2</v>
      </c>
      <c r="H58" s="1">
        <v>1</v>
      </c>
      <c r="I58" s="1">
        <v>0.7</v>
      </c>
      <c r="J58" s="1" t="s">
        <v>12</v>
      </c>
    </row>
    <row r="59" spans="1:10">
      <c r="A59" s="1" t="s">
        <v>74</v>
      </c>
      <c r="B59" s="1">
        <v>42</v>
      </c>
      <c r="C59" s="1" t="s">
        <v>19</v>
      </c>
      <c r="D59" s="1">
        <v>105.35</v>
      </c>
      <c r="E59" s="1">
        <v>19.88</v>
      </c>
      <c r="F59" s="1">
        <v>1</v>
      </c>
      <c r="G59" s="1">
        <v>2</v>
      </c>
      <c r="H59" s="1">
        <v>2</v>
      </c>
      <c r="I59" s="1">
        <v>2.8</v>
      </c>
      <c r="J59" s="1" t="s">
        <v>20</v>
      </c>
    </row>
    <row r="60" spans="1:10">
      <c r="A60" s="1" t="s">
        <v>75</v>
      </c>
      <c r="B60" s="1">
        <v>59</v>
      </c>
      <c r="C60" s="1" t="s">
        <v>19</v>
      </c>
      <c r="D60" s="1">
        <v>110.75</v>
      </c>
      <c r="E60" s="1">
        <v>24.56</v>
      </c>
      <c r="F60" s="1">
        <v>4</v>
      </c>
      <c r="G60" s="1">
        <v>4</v>
      </c>
      <c r="H60" s="1">
        <v>1</v>
      </c>
      <c r="I60" s="1">
        <v>1.7</v>
      </c>
      <c r="J60" s="1" t="s">
        <v>12</v>
      </c>
    </row>
    <row r="61" spans="1:10">
      <c r="A61" s="1" t="s">
        <v>76</v>
      </c>
      <c r="B61" s="1">
        <v>56</v>
      </c>
      <c r="C61" s="1" t="s">
        <v>19</v>
      </c>
      <c r="D61" s="1">
        <v>108</v>
      </c>
      <c r="E61" s="1">
        <v>22.24</v>
      </c>
      <c r="F61" s="1">
        <v>2</v>
      </c>
      <c r="G61" s="1">
        <v>4</v>
      </c>
      <c r="H61" s="1">
        <v>2</v>
      </c>
      <c r="I61" s="1">
        <v>1.1000000000000001</v>
      </c>
      <c r="J61" s="1" t="s">
        <v>14</v>
      </c>
    </row>
    <row r="62" spans="1:10">
      <c r="A62" s="1" t="s">
        <v>77</v>
      </c>
      <c r="B62" s="1">
        <v>32</v>
      </c>
      <c r="C62" s="1" t="s">
        <v>11</v>
      </c>
      <c r="D62" s="1">
        <v>98.63</v>
      </c>
      <c r="E62" s="1">
        <v>17.96</v>
      </c>
      <c r="F62" s="1">
        <v>0</v>
      </c>
      <c r="G62" s="1">
        <v>0</v>
      </c>
      <c r="H62" s="1">
        <v>2</v>
      </c>
      <c r="I62" s="1">
        <v>2.6</v>
      </c>
      <c r="J62" s="1" t="s">
        <v>24</v>
      </c>
    </row>
    <row r="63" spans="1:10">
      <c r="A63" s="1" t="s">
        <v>78</v>
      </c>
      <c r="B63" s="1">
        <v>47</v>
      </c>
      <c r="C63" s="1" t="s">
        <v>11</v>
      </c>
      <c r="D63" s="1">
        <v>103.57</v>
      </c>
      <c r="E63" s="1">
        <v>22.13</v>
      </c>
      <c r="F63" s="1">
        <v>3</v>
      </c>
      <c r="G63" s="1">
        <v>2</v>
      </c>
      <c r="H63" s="1">
        <v>0</v>
      </c>
      <c r="I63" s="1">
        <v>0.6</v>
      </c>
      <c r="J63" s="1" t="s">
        <v>12</v>
      </c>
    </row>
    <row r="64" spans="1:10">
      <c r="A64" s="1" t="s">
        <v>79</v>
      </c>
      <c r="B64" s="1">
        <v>28</v>
      </c>
      <c r="C64" s="1" t="s">
        <v>19</v>
      </c>
      <c r="D64" s="1">
        <v>92.72</v>
      </c>
      <c r="E64" s="1">
        <v>15.7</v>
      </c>
      <c r="F64" s="1">
        <v>4</v>
      </c>
      <c r="G64" s="1">
        <v>0</v>
      </c>
      <c r="H64" s="1">
        <v>1</v>
      </c>
      <c r="I64" s="1">
        <v>0.5</v>
      </c>
      <c r="J64" s="1" t="s">
        <v>24</v>
      </c>
    </row>
    <row r="65" spans="1:10">
      <c r="A65" s="1" t="s">
        <v>80</v>
      </c>
      <c r="B65" s="1">
        <v>56</v>
      </c>
      <c r="C65" s="1" t="s">
        <v>19</v>
      </c>
      <c r="D65" s="1">
        <v>113.3</v>
      </c>
      <c r="E65" s="1">
        <v>20.45</v>
      </c>
      <c r="F65" s="1">
        <v>2</v>
      </c>
      <c r="G65" s="1">
        <v>2</v>
      </c>
      <c r="H65" s="1">
        <v>2</v>
      </c>
      <c r="I65" s="1">
        <v>0.5</v>
      </c>
      <c r="J65" s="1" t="s">
        <v>27</v>
      </c>
    </row>
    <row r="66" spans="1:10">
      <c r="A66" s="1" t="s">
        <v>81</v>
      </c>
      <c r="B66" s="1">
        <v>38</v>
      </c>
      <c r="C66" s="1" t="s">
        <v>19</v>
      </c>
      <c r="D66" s="1">
        <v>104.84</v>
      </c>
      <c r="E66" s="1">
        <v>19.829999999999998</v>
      </c>
      <c r="F66" s="1">
        <v>4</v>
      </c>
      <c r="G66" s="1">
        <v>0</v>
      </c>
      <c r="H66" s="1">
        <v>0</v>
      </c>
      <c r="I66" s="1">
        <v>0.8</v>
      </c>
      <c r="J66" s="1" t="s">
        <v>24</v>
      </c>
    </row>
    <row r="67" spans="1:10">
      <c r="A67" s="1" t="s">
        <v>82</v>
      </c>
      <c r="B67" s="1">
        <v>50</v>
      </c>
      <c r="C67" s="1" t="s">
        <v>11</v>
      </c>
      <c r="D67" s="1">
        <v>104.56</v>
      </c>
      <c r="E67" s="1">
        <v>21.62</v>
      </c>
      <c r="F67" s="1">
        <v>4</v>
      </c>
      <c r="G67" s="1">
        <v>1</v>
      </c>
      <c r="H67" s="1">
        <v>1</v>
      </c>
      <c r="I67" s="1">
        <v>2</v>
      </c>
      <c r="J67" s="1" t="s">
        <v>12</v>
      </c>
    </row>
    <row r="68" spans="1:10">
      <c r="A68" s="1" t="s">
        <v>83</v>
      </c>
      <c r="B68" s="1">
        <v>27</v>
      </c>
      <c r="C68" s="1" t="s">
        <v>19</v>
      </c>
      <c r="D68" s="1">
        <v>97.32</v>
      </c>
      <c r="E68" s="1">
        <v>16.28</v>
      </c>
      <c r="F68" s="1">
        <v>2</v>
      </c>
      <c r="G68" s="1">
        <v>4</v>
      </c>
      <c r="H68" s="1">
        <v>0</v>
      </c>
      <c r="I68" s="1">
        <v>0.8</v>
      </c>
      <c r="J68" s="1" t="s">
        <v>12</v>
      </c>
    </row>
    <row r="69" spans="1:10">
      <c r="A69" s="1" t="s">
        <v>84</v>
      </c>
      <c r="B69" s="1">
        <v>32</v>
      </c>
      <c r="C69" s="1" t="s">
        <v>11</v>
      </c>
      <c r="D69" s="1">
        <v>103.58</v>
      </c>
      <c r="E69" s="1">
        <v>15.12</v>
      </c>
      <c r="F69" s="1">
        <v>4</v>
      </c>
      <c r="G69" s="1">
        <v>0</v>
      </c>
      <c r="H69" s="1">
        <v>2</v>
      </c>
      <c r="I69" s="1">
        <v>1.8</v>
      </c>
      <c r="J69" s="1" t="s">
        <v>20</v>
      </c>
    </row>
    <row r="70" spans="1:10">
      <c r="A70" s="1" t="s">
        <v>85</v>
      </c>
      <c r="B70" s="1">
        <v>53</v>
      </c>
      <c r="C70" s="1" t="s">
        <v>19</v>
      </c>
      <c r="D70" s="1">
        <v>105.92</v>
      </c>
      <c r="E70" s="1">
        <v>22.98</v>
      </c>
      <c r="F70" s="1">
        <v>2</v>
      </c>
      <c r="G70" s="1">
        <v>0</v>
      </c>
      <c r="H70" s="1">
        <v>0</v>
      </c>
      <c r="I70" s="1">
        <v>0.8</v>
      </c>
      <c r="J70" s="1" t="s">
        <v>27</v>
      </c>
    </row>
    <row r="71" spans="1:10">
      <c r="A71" s="1" t="s">
        <v>86</v>
      </c>
      <c r="B71" s="1">
        <v>33</v>
      </c>
      <c r="C71" s="1" t="s">
        <v>19</v>
      </c>
      <c r="D71" s="1">
        <v>104.76</v>
      </c>
      <c r="E71" s="1">
        <v>13.89</v>
      </c>
      <c r="F71" s="1">
        <v>3</v>
      </c>
      <c r="G71" s="1">
        <v>4</v>
      </c>
      <c r="H71" s="1">
        <v>0</v>
      </c>
      <c r="I71" s="1">
        <v>0.5</v>
      </c>
      <c r="J71" s="1" t="s">
        <v>20</v>
      </c>
    </row>
    <row r="72" spans="1:10">
      <c r="A72" s="1" t="s">
        <v>87</v>
      </c>
      <c r="B72" s="1">
        <v>49</v>
      </c>
      <c r="C72" s="1" t="s">
        <v>19</v>
      </c>
      <c r="D72" s="1">
        <v>108.22</v>
      </c>
      <c r="E72" s="1">
        <v>19.55</v>
      </c>
      <c r="F72" s="1">
        <v>1</v>
      </c>
      <c r="G72" s="1">
        <v>1</v>
      </c>
      <c r="H72" s="1">
        <v>2</v>
      </c>
      <c r="I72" s="1">
        <v>1.6</v>
      </c>
      <c r="J72" s="1" t="s">
        <v>20</v>
      </c>
    </row>
    <row r="73" spans="1:10">
      <c r="A73" s="1" t="s">
        <v>88</v>
      </c>
      <c r="B73" s="1">
        <v>32</v>
      </c>
      <c r="C73" s="1" t="s">
        <v>11</v>
      </c>
      <c r="D73" s="1">
        <v>97.69</v>
      </c>
      <c r="E73" s="1">
        <v>18.04</v>
      </c>
      <c r="F73" s="1">
        <v>3</v>
      </c>
      <c r="G73" s="1">
        <v>2</v>
      </c>
      <c r="H73" s="1">
        <v>2</v>
      </c>
      <c r="I73" s="1">
        <v>2.2000000000000002</v>
      </c>
      <c r="J73" s="1" t="s">
        <v>12</v>
      </c>
    </row>
    <row r="74" spans="1:10">
      <c r="A74" s="1" t="s">
        <v>89</v>
      </c>
      <c r="B74" s="1">
        <v>52</v>
      </c>
      <c r="C74" s="1" t="s">
        <v>11</v>
      </c>
      <c r="D74" s="1">
        <v>104.99</v>
      </c>
      <c r="E74" s="1">
        <v>22.77</v>
      </c>
      <c r="F74" s="1">
        <v>3</v>
      </c>
      <c r="G74" s="1">
        <v>2</v>
      </c>
      <c r="H74" s="1">
        <v>1</v>
      </c>
      <c r="I74" s="1">
        <v>1.1000000000000001</v>
      </c>
      <c r="J74" s="1" t="s">
        <v>14</v>
      </c>
    </row>
    <row r="75" spans="1:10">
      <c r="A75" s="1" t="s">
        <v>90</v>
      </c>
      <c r="B75" s="1">
        <v>25</v>
      </c>
      <c r="C75" s="1" t="s">
        <v>19</v>
      </c>
      <c r="D75" s="1">
        <v>88.93</v>
      </c>
      <c r="E75" s="1">
        <v>15.5</v>
      </c>
      <c r="F75" s="1">
        <v>3</v>
      </c>
      <c r="G75" s="1">
        <v>0</v>
      </c>
      <c r="H75" s="1">
        <v>3</v>
      </c>
      <c r="I75" s="1">
        <v>3.8</v>
      </c>
      <c r="J75" s="1" t="s">
        <v>14</v>
      </c>
    </row>
    <row r="76" spans="1:10">
      <c r="A76" s="1" t="s">
        <v>91</v>
      </c>
      <c r="B76" s="1">
        <v>41</v>
      </c>
      <c r="C76" s="1" t="s">
        <v>11</v>
      </c>
      <c r="D76" s="1">
        <v>105.5</v>
      </c>
      <c r="E76" s="1">
        <v>20.18</v>
      </c>
      <c r="F76" s="1">
        <v>1</v>
      </c>
      <c r="G76" s="1">
        <v>4</v>
      </c>
      <c r="H76" s="1">
        <v>3</v>
      </c>
      <c r="I76" s="1">
        <v>1.9</v>
      </c>
      <c r="J76" s="1" t="s">
        <v>24</v>
      </c>
    </row>
    <row r="77" spans="1:10">
      <c r="A77" s="1" t="s">
        <v>92</v>
      </c>
      <c r="B77" s="1">
        <v>38</v>
      </c>
      <c r="C77" s="1" t="s">
        <v>19</v>
      </c>
      <c r="D77" s="1">
        <v>101.47</v>
      </c>
      <c r="E77" s="1">
        <v>15.96</v>
      </c>
      <c r="F77" s="1">
        <v>1</v>
      </c>
      <c r="G77" s="1">
        <v>1</v>
      </c>
      <c r="H77" s="1">
        <v>0</v>
      </c>
      <c r="I77" s="1">
        <v>0.8</v>
      </c>
      <c r="J77" s="1" t="s">
        <v>12</v>
      </c>
    </row>
    <row r="78" spans="1:10">
      <c r="A78" s="1" t="s">
        <v>93</v>
      </c>
      <c r="B78" s="1">
        <v>46</v>
      </c>
      <c r="C78" s="1" t="s">
        <v>19</v>
      </c>
      <c r="D78" s="1">
        <v>103.84</v>
      </c>
      <c r="E78" s="1">
        <v>17.13</v>
      </c>
      <c r="F78" s="1">
        <v>0</v>
      </c>
      <c r="G78" s="1">
        <v>4</v>
      </c>
      <c r="H78" s="1">
        <v>1</v>
      </c>
      <c r="I78" s="1">
        <v>0.7</v>
      </c>
      <c r="J78" s="1" t="s">
        <v>20</v>
      </c>
    </row>
    <row r="79" spans="1:10">
      <c r="A79" s="1" t="s">
        <v>94</v>
      </c>
      <c r="B79" s="1">
        <v>45</v>
      </c>
      <c r="C79" s="1" t="s">
        <v>19</v>
      </c>
      <c r="D79" s="1">
        <v>103.74</v>
      </c>
      <c r="E79" s="1">
        <v>18.21</v>
      </c>
      <c r="F79" s="1">
        <v>1</v>
      </c>
      <c r="G79" s="1">
        <v>3</v>
      </c>
      <c r="H79" s="1">
        <v>0</v>
      </c>
      <c r="I79" s="1">
        <v>0.5</v>
      </c>
      <c r="J79" s="1" t="s">
        <v>20</v>
      </c>
    </row>
    <row r="80" spans="1:10">
      <c r="A80" s="1" t="s">
        <v>95</v>
      </c>
      <c r="B80" s="1">
        <v>48</v>
      </c>
      <c r="C80" s="1" t="s">
        <v>19</v>
      </c>
      <c r="D80" s="1">
        <v>101.32</v>
      </c>
      <c r="E80" s="1">
        <v>21.93</v>
      </c>
      <c r="F80" s="1">
        <v>4</v>
      </c>
      <c r="G80" s="1">
        <v>2</v>
      </c>
      <c r="H80" s="1">
        <v>2</v>
      </c>
      <c r="I80" s="1">
        <v>2.8</v>
      </c>
      <c r="J80" s="1" t="s">
        <v>14</v>
      </c>
    </row>
    <row r="81" spans="1:10">
      <c r="A81" s="1" t="s">
        <v>96</v>
      </c>
      <c r="B81" s="1">
        <v>54</v>
      </c>
      <c r="C81" s="1" t="s">
        <v>11</v>
      </c>
      <c r="D81" s="1">
        <v>109.83</v>
      </c>
      <c r="E81" s="1">
        <v>21.35</v>
      </c>
      <c r="F81" s="1">
        <v>3</v>
      </c>
      <c r="G81" s="1">
        <v>2</v>
      </c>
      <c r="H81" s="1">
        <v>1</v>
      </c>
      <c r="I81" s="1">
        <v>0.7</v>
      </c>
      <c r="J81" s="1" t="s">
        <v>24</v>
      </c>
    </row>
    <row r="82" spans="1:10">
      <c r="A82" s="1" t="s">
        <v>97</v>
      </c>
      <c r="B82" s="1">
        <v>49</v>
      </c>
      <c r="C82" s="1" t="s">
        <v>19</v>
      </c>
      <c r="D82" s="1">
        <v>112.98</v>
      </c>
      <c r="E82" s="1">
        <v>18.22</v>
      </c>
      <c r="F82" s="1">
        <v>3</v>
      </c>
      <c r="G82" s="1">
        <v>1</v>
      </c>
      <c r="H82" s="1">
        <v>1</v>
      </c>
      <c r="I82" s="1">
        <v>1.7</v>
      </c>
      <c r="J82" s="1" t="s">
        <v>12</v>
      </c>
    </row>
    <row r="83" spans="1:10">
      <c r="A83" s="1" t="s">
        <v>98</v>
      </c>
      <c r="B83" s="1">
        <v>45</v>
      </c>
      <c r="C83" s="1" t="s">
        <v>11</v>
      </c>
      <c r="D83" s="1">
        <v>104.87</v>
      </c>
      <c r="E83" s="1">
        <v>19.66</v>
      </c>
      <c r="F83" s="1">
        <v>1</v>
      </c>
      <c r="G83" s="1">
        <v>4</v>
      </c>
      <c r="H83" s="1">
        <v>2</v>
      </c>
      <c r="I83" s="1">
        <v>1.1000000000000001</v>
      </c>
      <c r="J83" s="1" t="s">
        <v>27</v>
      </c>
    </row>
    <row r="84" spans="1:10">
      <c r="A84" s="1" t="s">
        <v>99</v>
      </c>
      <c r="B84" s="1">
        <v>30</v>
      </c>
      <c r="C84" s="1" t="s">
        <v>19</v>
      </c>
      <c r="D84" s="1">
        <v>100.81</v>
      </c>
      <c r="E84" s="1">
        <v>14.39</v>
      </c>
      <c r="F84" s="1">
        <v>2</v>
      </c>
      <c r="G84" s="1">
        <v>4</v>
      </c>
      <c r="H84" s="1">
        <v>2</v>
      </c>
      <c r="I84" s="1">
        <v>2.6</v>
      </c>
      <c r="J84" s="1" t="s">
        <v>12</v>
      </c>
    </row>
    <row r="85" spans="1:10">
      <c r="A85" s="1" t="s">
        <v>100</v>
      </c>
      <c r="B85" s="1">
        <v>29</v>
      </c>
      <c r="C85" s="1" t="s">
        <v>11</v>
      </c>
      <c r="D85" s="1">
        <v>101.16</v>
      </c>
      <c r="E85" s="1">
        <v>14.14</v>
      </c>
      <c r="F85" s="1">
        <v>2</v>
      </c>
      <c r="G85" s="1">
        <v>2</v>
      </c>
      <c r="H85" s="1">
        <v>3</v>
      </c>
      <c r="I85" s="1">
        <v>1.3</v>
      </c>
      <c r="J85" s="1" t="s">
        <v>12</v>
      </c>
    </row>
    <row r="86" spans="1:10">
      <c r="A86" s="1" t="s">
        <v>101</v>
      </c>
      <c r="B86" s="1">
        <v>57</v>
      </c>
      <c r="C86" s="1" t="s">
        <v>11</v>
      </c>
      <c r="D86" s="1">
        <v>115.19</v>
      </c>
      <c r="E86" s="1">
        <v>20.76</v>
      </c>
      <c r="F86" s="1">
        <v>1</v>
      </c>
      <c r="G86" s="1">
        <v>4</v>
      </c>
      <c r="H86" s="1">
        <v>0</v>
      </c>
      <c r="I86" s="1">
        <v>1</v>
      </c>
      <c r="J86" s="1" t="s">
        <v>12</v>
      </c>
    </row>
    <row r="87" spans="1:10">
      <c r="A87" s="1" t="s">
        <v>102</v>
      </c>
      <c r="B87" s="1">
        <v>56</v>
      </c>
      <c r="C87" s="1" t="s">
        <v>19</v>
      </c>
      <c r="D87" s="1">
        <v>110.72</v>
      </c>
      <c r="E87" s="1">
        <v>20.149999999999999</v>
      </c>
      <c r="F87" s="1">
        <v>0</v>
      </c>
      <c r="G87" s="1">
        <v>1</v>
      </c>
      <c r="H87" s="1">
        <v>1</v>
      </c>
      <c r="I87" s="1">
        <v>2</v>
      </c>
      <c r="J87" s="1" t="s">
        <v>27</v>
      </c>
    </row>
    <row r="88" spans="1:10">
      <c r="A88" s="1" t="s">
        <v>103</v>
      </c>
      <c r="B88" s="1">
        <v>56</v>
      </c>
      <c r="C88" s="1" t="s">
        <v>11</v>
      </c>
      <c r="D88" s="1">
        <v>106.73</v>
      </c>
      <c r="E88" s="1">
        <v>24.09</v>
      </c>
      <c r="F88" s="1">
        <v>0</v>
      </c>
      <c r="G88" s="1">
        <v>1</v>
      </c>
      <c r="H88" s="1">
        <v>3</v>
      </c>
      <c r="I88" s="1">
        <v>1.7</v>
      </c>
      <c r="J88" s="1" t="s">
        <v>27</v>
      </c>
    </row>
    <row r="89" spans="1:10">
      <c r="A89" s="1" t="s">
        <v>104</v>
      </c>
      <c r="B89" s="1">
        <v>25</v>
      </c>
      <c r="C89" s="1" t="s">
        <v>11</v>
      </c>
      <c r="D89" s="1">
        <v>99.72</v>
      </c>
      <c r="E89" s="1">
        <v>14.9</v>
      </c>
      <c r="F89" s="1">
        <v>4</v>
      </c>
      <c r="G89" s="1">
        <v>2</v>
      </c>
      <c r="H89" s="1">
        <v>3</v>
      </c>
      <c r="I89" s="1">
        <v>2.2000000000000002</v>
      </c>
      <c r="J89" s="1" t="s">
        <v>14</v>
      </c>
    </row>
    <row r="90" spans="1:10">
      <c r="A90" s="1" t="s">
        <v>105</v>
      </c>
      <c r="B90" s="1">
        <v>30</v>
      </c>
      <c r="C90" s="1" t="s">
        <v>11</v>
      </c>
      <c r="D90" s="1">
        <v>96.45</v>
      </c>
      <c r="E90" s="1">
        <v>14.77</v>
      </c>
      <c r="F90" s="1">
        <v>4</v>
      </c>
      <c r="G90" s="1">
        <v>2</v>
      </c>
      <c r="H90" s="1">
        <v>0</v>
      </c>
      <c r="I90" s="1">
        <v>0.6</v>
      </c>
      <c r="J90" s="1" t="s">
        <v>24</v>
      </c>
    </row>
    <row r="91" spans="1:10">
      <c r="A91" s="1" t="s">
        <v>106</v>
      </c>
      <c r="B91" s="1">
        <v>53</v>
      </c>
      <c r="C91" s="1" t="s">
        <v>19</v>
      </c>
      <c r="D91" s="1">
        <v>106.44</v>
      </c>
      <c r="E91" s="1">
        <v>20.73</v>
      </c>
      <c r="F91" s="1">
        <v>4</v>
      </c>
      <c r="G91" s="1">
        <v>3</v>
      </c>
      <c r="H91" s="1">
        <v>2</v>
      </c>
      <c r="I91" s="1">
        <v>2</v>
      </c>
      <c r="J91" s="1" t="s">
        <v>12</v>
      </c>
    </row>
    <row r="92" spans="1:10">
      <c r="A92" s="1" t="s">
        <v>107</v>
      </c>
      <c r="B92" s="1">
        <v>29</v>
      </c>
      <c r="C92" s="1" t="s">
        <v>11</v>
      </c>
      <c r="D92" s="1">
        <v>97.77</v>
      </c>
      <c r="E92" s="1">
        <v>15.72</v>
      </c>
      <c r="F92" s="1">
        <v>2</v>
      </c>
      <c r="G92" s="1">
        <v>0</v>
      </c>
      <c r="H92" s="1">
        <v>0</v>
      </c>
      <c r="I92" s="1">
        <v>0.9</v>
      </c>
      <c r="J92" s="1" t="s">
        <v>12</v>
      </c>
    </row>
    <row r="93" spans="1:10">
      <c r="A93" s="1" t="s">
        <v>108</v>
      </c>
      <c r="B93" s="1">
        <v>58</v>
      </c>
      <c r="C93" s="1" t="s">
        <v>19</v>
      </c>
      <c r="D93" s="1">
        <v>113.49</v>
      </c>
      <c r="E93" s="1">
        <v>25.26</v>
      </c>
      <c r="F93" s="1">
        <v>0</v>
      </c>
      <c r="G93" s="1">
        <v>4</v>
      </c>
      <c r="H93" s="1">
        <v>3</v>
      </c>
      <c r="I93" s="1">
        <v>3</v>
      </c>
      <c r="J93" s="1" t="s">
        <v>27</v>
      </c>
    </row>
    <row r="94" spans="1:10">
      <c r="A94" s="1" t="s">
        <v>109</v>
      </c>
      <c r="B94" s="1">
        <v>26</v>
      </c>
      <c r="C94" s="1" t="s">
        <v>19</v>
      </c>
      <c r="D94" s="1">
        <v>92.08</v>
      </c>
      <c r="E94" s="1">
        <v>15.29</v>
      </c>
      <c r="F94" s="1">
        <v>4</v>
      </c>
      <c r="G94" s="1">
        <v>1</v>
      </c>
      <c r="H94" s="1">
        <v>2</v>
      </c>
      <c r="I94" s="1">
        <v>2.6</v>
      </c>
      <c r="J94" s="1" t="s">
        <v>20</v>
      </c>
    </row>
    <row r="95" spans="1:10">
      <c r="A95" s="1" t="s">
        <v>110</v>
      </c>
      <c r="B95" s="1">
        <v>25</v>
      </c>
      <c r="C95" s="1" t="s">
        <v>11</v>
      </c>
      <c r="D95" s="1">
        <v>96.42</v>
      </c>
      <c r="E95" s="1">
        <v>15.34</v>
      </c>
      <c r="F95" s="1">
        <v>4</v>
      </c>
      <c r="G95" s="1">
        <v>3</v>
      </c>
      <c r="H95" s="1">
        <v>2</v>
      </c>
      <c r="I95" s="1">
        <v>0.9</v>
      </c>
      <c r="J95" s="1" t="s">
        <v>20</v>
      </c>
    </row>
    <row r="96" spans="1:10">
      <c r="A96" s="1" t="s">
        <v>111</v>
      </c>
      <c r="B96" s="1">
        <v>59</v>
      </c>
      <c r="C96" s="1" t="s">
        <v>11</v>
      </c>
      <c r="D96" s="1">
        <v>108.1</v>
      </c>
      <c r="E96" s="1">
        <v>19.25</v>
      </c>
      <c r="F96" s="1">
        <v>1</v>
      </c>
      <c r="G96" s="1">
        <v>0</v>
      </c>
      <c r="H96" s="1">
        <v>1</v>
      </c>
      <c r="I96" s="1">
        <v>1</v>
      </c>
      <c r="J96" s="1" t="s">
        <v>12</v>
      </c>
    </row>
    <row r="97" spans="1:10">
      <c r="A97" s="1" t="s">
        <v>112</v>
      </c>
      <c r="B97" s="1">
        <v>50</v>
      </c>
      <c r="C97" s="1" t="s">
        <v>11</v>
      </c>
      <c r="D97" s="1">
        <v>109.15</v>
      </c>
      <c r="E97" s="1">
        <v>22.09</v>
      </c>
      <c r="F97" s="1">
        <v>1</v>
      </c>
      <c r="G97" s="1">
        <v>4</v>
      </c>
      <c r="H97" s="1">
        <v>0</v>
      </c>
      <c r="I97" s="1">
        <v>0.6</v>
      </c>
      <c r="J97" s="1" t="s">
        <v>14</v>
      </c>
    </row>
    <row r="98" spans="1:10">
      <c r="A98" s="1" t="s">
        <v>113</v>
      </c>
      <c r="B98" s="1">
        <v>48</v>
      </c>
      <c r="C98" s="1" t="s">
        <v>19</v>
      </c>
      <c r="D98" s="1">
        <v>107.71</v>
      </c>
      <c r="E98" s="1">
        <v>19.079999999999998</v>
      </c>
      <c r="F98" s="1">
        <v>0</v>
      </c>
      <c r="G98" s="1">
        <v>2</v>
      </c>
      <c r="H98" s="1">
        <v>2</v>
      </c>
      <c r="I98" s="1">
        <v>1.8</v>
      </c>
      <c r="J98" s="1" t="s">
        <v>20</v>
      </c>
    </row>
    <row r="99" spans="1:10">
      <c r="A99" s="1" t="s">
        <v>114</v>
      </c>
      <c r="B99" s="1">
        <v>57</v>
      </c>
      <c r="C99" s="1" t="s">
        <v>19</v>
      </c>
      <c r="D99" s="1">
        <v>112.41</v>
      </c>
      <c r="E99" s="1">
        <v>21.55</v>
      </c>
      <c r="F99" s="1">
        <v>2</v>
      </c>
      <c r="G99" s="1">
        <v>4</v>
      </c>
      <c r="H99" s="1">
        <v>0</v>
      </c>
      <c r="I99" s="1">
        <v>0.9</v>
      </c>
      <c r="J99" s="1" t="s">
        <v>12</v>
      </c>
    </row>
    <row r="100" spans="1:10">
      <c r="A100" s="1" t="s">
        <v>115</v>
      </c>
      <c r="B100" s="1">
        <v>45</v>
      </c>
      <c r="C100" s="1" t="s">
        <v>19</v>
      </c>
      <c r="D100" s="1">
        <v>110.12</v>
      </c>
      <c r="E100" s="1">
        <v>18.510000000000002</v>
      </c>
      <c r="F100" s="1">
        <v>0</v>
      </c>
      <c r="G100" s="1">
        <v>2</v>
      </c>
      <c r="H100" s="1">
        <v>0</v>
      </c>
      <c r="I100" s="1">
        <v>0.9</v>
      </c>
      <c r="J100" s="1" t="s">
        <v>24</v>
      </c>
    </row>
    <row r="101" spans="1:10">
      <c r="A101" s="1" t="s">
        <v>116</v>
      </c>
      <c r="B101" s="1">
        <v>49</v>
      </c>
      <c r="C101" s="1" t="s">
        <v>19</v>
      </c>
      <c r="D101" s="1">
        <v>106.6</v>
      </c>
      <c r="E101" s="1">
        <v>21.21</v>
      </c>
      <c r="F101" s="1">
        <v>0</v>
      </c>
      <c r="G101" s="1">
        <v>0</v>
      </c>
      <c r="H101" s="1">
        <v>2</v>
      </c>
      <c r="I101" s="1">
        <v>2.5</v>
      </c>
      <c r="J101" s="1" t="s">
        <v>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404D0-AEFD-4402-B894-C4020EF1D6CC}">
  <dimension ref="A1:M103"/>
  <sheetViews>
    <sheetView workbookViewId="0">
      <selection sqref="A1:M101"/>
    </sheetView>
  </sheetViews>
  <sheetFormatPr defaultRowHeight="14.4"/>
  <cols>
    <col min="1" max="1" width="9.44140625" bestFit="1" customWidth="1"/>
    <col min="2" max="2" width="13" bestFit="1" customWidth="1"/>
    <col min="3" max="3" width="9.33203125" bestFit="1" customWidth="1"/>
    <col min="4" max="4" width="12.109375" bestFit="1" customWidth="1"/>
    <col min="5" max="5" width="11.6640625" bestFit="1" customWidth="1"/>
    <col min="6" max="6" width="20.109375" bestFit="1" customWidth="1"/>
    <col min="7" max="7" width="21.6640625" bestFit="1" customWidth="1"/>
    <col min="8" max="8" width="19.109375" bestFit="1" customWidth="1"/>
    <col min="9" max="9" width="18.88671875" bestFit="1" customWidth="1"/>
    <col min="10" max="10" width="8.77734375" bestFit="1" customWidth="1"/>
    <col min="11" max="11" width="14.6640625" customWidth="1"/>
    <col min="12" max="12" width="14.44140625" customWidth="1"/>
    <col min="13" max="13" width="13.21875" customWidth="1"/>
  </cols>
  <sheetData>
    <row r="1" spans="1:13">
      <c r="A1" t="s">
        <v>0</v>
      </c>
      <c r="B1" t="s">
        <v>1</v>
      </c>
      <c r="C1" t="s">
        <v>2</v>
      </c>
      <c r="D1" t="s">
        <v>3</v>
      </c>
      <c r="E1" t="s">
        <v>4</v>
      </c>
      <c r="F1" t="s">
        <v>5</v>
      </c>
      <c r="G1" t="s">
        <v>6</v>
      </c>
      <c r="H1" t="s">
        <v>7</v>
      </c>
      <c r="I1" t="s">
        <v>8</v>
      </c>
      <c r="J1" t="s">
        <v>9</v>
      </c>
      <c r="K1" t="s">
        <v>117</v>
      </c>
      <c r="L1" t="s">
        <v>118</v>
      </c>
      <c r="M1" t="s">
        <v>122</v>
      </c>
    </row>
    <row r="2" spans="1:13">
      <c r="A2" s="2" t="s">
        <v>10</v>
      </c>
      <c r="B2">
        <v>47</v>
      </c>
      <c r="C2" s="2" t="s">
        <v>11</v>
      </c>
      <c r="D2">
        <v>104.41</v>
      </c>
      <c r="E2">
        <v>17.34</v>
      </c>
      <c r="F2">
        <v>1</v>
      </c>
      <c r="G2">
        <v>2</v>
      </c>
      <c r="H2">
        <v>3</v>
      </c>
      <c r="I2">
        <v>1.2</v>
      </c>
      <c r="J2" s="2" t="s">
        <v>12</v>
      </c>
      <c r="K2" s="2">
        <f>Child_Health_data[[#This Row],[Weight_kg]]/((Child_Health_data[[#This Row],[Height_cm]]/100)^2)</f>
        <v>15.90614369846883</v>
      </c>
      <c r="L2" t="str">
        <f>(IF(Child_Health_data[[#This Row],[BMI]]&lt;18.5,"Underweight",
   IF(Child_Health_data[[#This Row],[BMI]]&lt;25,"Healthy Weight",
   IF(Child_Health_data[[#This Row],[BMI]]&lt;30,"Overweight","Obese"))))</f>
        <v>Underweight</v>
      </c>
      <c r="M2" s="2" t="str">
        <f>(IF(AND(B2&gt;=24,B2&lt;=36),"24-36 Months",
  IF(AND(B2&gt;=37,B2&lt;=48),"37-48 Months",
  IF(AND(B2&gt;=49,B2&lt;=60),"49-60 Months",
  "61+ Months"))))</f>
        <v>37-48 Months</v>
      </c>
    </row>
    <row r="3" spans="1:13">
      <c r="A3" s="2" t="s">
        <v>13</v>
      </c>
      <c r="B3">
        <v>34</v>
      </c>
      <c r="C3" s="2" t="s">
        <v>11</v>
      </c>
      <c r="D3">
        <v>99.08</v>
      </c>
      <c r="E3">
        <v>16.21</v>
      </c>
      <c r="F3">
        <v>0</v>
      </c>
      <c r="G3">
        <v>1</v>
      </c>
      <c r="H3">
        <v>1</v>
      </c>
      <c r="I3">
        <v>1.4</v>
      </c>
      <c r="J3" s="2" t="s">
        <v>14</v>
      </c>
      <c r="K3" s="2">
        <f>Child_Health_data[[#This Row],[Weight_kg]]/((Child_Health_data[[#This Row],[Height_cm]]/100)^2)</f>
        <v>16.512431120446177</v>
      </c>
      <c r="L3" t="str">
        <f>(IF(Child_Health_data[[#This Row],[BMI]]&lt;18.5,"Underweight",
   IF(Child_Health_data[[#This Row],[BMI]]&lt;25,"Healthy Weight",
   IF(Child_Health_data[[#This Row],[BMI]]&lt;30,"Overweight","Obese"))))</f>
        <v>Underweight</v>
      </c>
      <c r="M3" s="2" t="str">
        <f t="shared" ref="M3:M66" si="0">(IF(AND(B3&gt;=24,B3&lt;=36),"24-36 Months",
  IF(AND(B3&gt;=37,B3&lt;=48),"37-48 Months",
  IF(AND(B3&gt;=49,B3&lt;=60),"49-60 Months",
  "61+ Months"))))</f>
        <v>24-36 Months</v>
      </c>
    </row>
    <row r="4" spans="1:13">
      <c r="A4" s="2" t="s">
        <v>15</v>
      </c>
      <c r="B4">
        <v>35</v>
      </c>
      <c r="C4" s="2" t="s">
        <v>11</v>
      </c>
      <c r="D4">
        <v>94.96</v>
      </c>
      <c r="E4">
        <v>17.3</v>
      </c>
      <c r="F4">
        <v>3</v>
      </c>
      <c r="G4">
        <v>3</v>
      </c>
      <c r="H4">
        <v>2</v>
      </c>
      <c r="I4">
        <v>0.6</v>
      </c>
      <c r="J4" s="2" t="s">
        <v>14</v>
      </c>
      <c r="K4" s="2">
        <f>Child_Health_data[[#This Row],[Weight_kg]]/((Child_Health_data[[#This Row],[Height_cm]]/100)^2)</f>
        <v>19.185127564907393</v>
      </c>
      <c r="L4" t="str">
        <f>(IF(Child_Health_data[[#This Row],[BMI]]&lt;18.5,"Underweight",
   IF(Child_Health_data[[#This Row],[BMI]]&lt;25,"Healthy Weight",
   IF(Child_Health_data[[#This Row],[BMI]]&lt;30,"Overweight","Obese"))))</f>
        <v>Healthy Weight</v>
      </c>
      <c r="M4" s="2" t="str">
        <f t="shared" si="0"/>
        <v>24-36 Months</v>
      </c>
    </row>
    <row r="5" spans="1:13">
      <c r="A5" s="2" t="s">
        <v>16</v>
      </c>
      <c r="B5">
        <v>39</v>
      </c>
      <c r="C5" s="2" t="s">
        <v>11</v>
      </c>
      <c r="D5">
        <v>100.65</v>
      </c>
      <c r="E5">
        <v>20.010000000000002</v>
      </c>
      <c r="F5">
        <v>2</v>
      </c>
      <c r="G5">
        <v>0</v>
      </c>
      <c r="H5">
        <v>1</v>
      </c>
      <c r="I5">
        <v>1.5</v>
      </c>
      <c r="J5" s="2" t="s">
        <v>14</v>
      </c>
      <c r="K5" s="2">
        <f>Child_Health_data[[#This Row],[Weight_kg]]/((Child_Health_data[[#This Row],[Height_cm]]/100)^2)</f>
        <v>19.75238446372795</v>
      </c>
      <c r="L5" t="str">
        <f>(IF(Child_Health_data[[#This Row],[BMI]]&lt;18.5,"Underweight",
   IF(Child_Health_data[[#This Row],[BMI]]&lt;25,"Healthy Weight",
   IF(Child_Health_data[[#This Row],[BMI]]&lt;30,"Overweight","Obese"))))</f>
        <v>Healthy Weight</v>
      </c>
      <c r="M5" s="2" t="str">
        <f t="shared" si="0"/>
        <v>37-48 Months</v>
      </c>
    </row>
    <row r="6" spans="1:13">
      <c r="A6" s="2" t="s">
        <v>17</v>
      </c>
      <c r="B6">
        <v>26</v>
      </c>
      <c r="C6" s="2" t="s">
        <v>11</v>
      </c>
      <c r="D6">
        <v>90.06</v>
      </c>
      <c r="E6">
        <v>12.16</v>
      </c>
      <c r="F6">
        <v>0</v>
      </c>
      <c r="G6">
        <v>1</v>
      </c>
      <c r="H6">
        <v>0</v>
      </c>
      <c r="I6">
        <v>0.9</v>
      </c>
      <c r="J6" s="2" t="s">
        <v>12</v>
      </c>
      <c r="K6" s="2">
        <f>Child_Health_data[[#This Row],[Weight_kg]]/((Child_Health_data[[#This Row],[Height_cm]]/100)^2)</f>
        <v>14.992349216790304</v>
      </c>
      <c r="L6" t="str">
        <f>(IF(Child_Health_data[[#This Row],[BMI]]&lt;18.5,"Underweight",
   IF(Child_Health_data[[#This Row],[BMI]]&lt;25,"Healthy Weight",
   IF(Child_Health_data[[#This Row],[BMI]]&lt;30,"Overweight","Obese"))))</f>
        <v>Underweight</v>
      </c>
      <c r="M6" s="2" t="str">
        <f t="shared" si="0"/>
        <v>24-36 Months</v>
      </c>
    </row>
    <row r="7" spans="1:13">
      <c r="A7" s="2" t="s">
        <v>18</v>
      </c>
      <c r="B7">
        <v>51</v>
      </c>
      <c r="C7" s="2" t="s">
        <v>19</v>
      </c>
      <c r="D7">
        <v>108.82</v>
      </c>
      <c r="E7">
        <v>21.54</v>
      </c>
      <c r="F7">
        <v>0</v>
      </c>
      <c r="G7">
        <v>1</v>
      </c>
      <c r="H7">
        <v>1</v>
      </c>
      <c r="I7">
        <v>0.9</v>
      </c>
      <c r="J7" s="2" t="s">
        <v>20</v>
      </c>
      <c r="K7" s="2">
        <f>Child_Health_data[[#This Row],[Weight_kg]]/((Child_Health_data[[#This Row],[Height_cm]]/100)^2)</f>
        <v>18.189813900132215</v>
      </c>
      <c r="L7" t="str">
        <f>(IF(Child_Health_data[[#This Row],[BMI]]&lt;18.5,"Underweight",
   IF(Child_Health_data[[#This Row],[BMI]]&lt;25,"Healthy Weight",
   IF(Child_Health_data[[#This Row],[BMI]]&lt;30,"Overweight","Obese"))))</f>
        <v>Underweight</v>
      </c>
      <c r="M7" s="2" t="str">
        <f t="shared" si="0"/>
        <v>49-60 Months</v>
      </c>
    </row>
    <row r="8" spans="1:13">
      <c r="A8" s="2" t="s">
        <v>21</v>
      </c>
      <c r="B8">
        <v>52</v>
      </c>
      <c r="C8" s="2" t="s">
        <v>19</v>
      </c>
      <c r="D8">
        <v>110.28</v>
      </c>
      <c r="E8">
        <v>21.49</v>
      </c>
      <c r="F8">
        <v>4</v>
      </c>
      <c r="G8">
        <v>0</v>
      </c>
      <c r="H8">
        <v>2</v>
      </c>
      <c r="I8">
        <v>2.8</v>
      </c>
      <c r="J8" s="2" t="s">
        <v>12</v>
      </c>
      <c r="K8" s="2">
        <f>Child_Health_data[[#This Row],[Weight_kg]]/((Child_Health_data[[#This Row],[Height_cm]]/100)^2)</f>
        <v>17.67025840775398</v>
      </c>
      <c r="L8" t="str">
        <f>(IF(Child_Health_data[[#This Row],[BMI]]&lt;18.5,"Underweight",
   IF(Child_Health_data[[#This Row],[BMI]]&lt;25,"Healthy Weight",
   IF(Child_Health_data[[#This Row],[BMI]]&lt;30,"Overweight","Obese"))))</f>
        <v>Underweight</v>
      </c>
      <c r="M8" s="2" t="str">
        <f t="shared" si="0"/>
        <v>49-60 Months</v>
      </c>
    </row>
    <row r="9" spans="1:13">
      <c r="A9" s="2" t="s">
        <v>22</v>
      </c>
      <c r="B9">
        <v>52</v>
      </c>
      <c r="C9" s="2" t="s">
        <v>11</v>
      </c>
      <c r="D9">
        <v>102.65</v>
      </c>
      <c r="E9">
        <v>19.55</v>
      </c>
      <c r="F9">
        <v>2</v>
      </c>
      <c r="G9">
        <v>2</v>
      </c>
      <c r="H9">
        <v>1</v>
      </c>
      <c r="I9">
        <v>1.3</v>
      </c>
      <c r="J9" s="2" t="s">
        <v>14</v>
      </c>
      <c r="K9" s="2">
        <f>Child_Health_data[[#This Row],[Weight_kg]]/((Child_Health_data[[#This Row],[Height_cm]]/100)^2)</f>
        <v>18.553628408784363</v>
      </c>
      <c r="L9" t="str">
        <f>(IF(Child_Health_data[[#This Row],[BMI]]&lt;18.5,"Underweight",
   IF(Child_Health_data[[#This Row],[BMI]]&lt;25,"Healthy Weight",
   IF(Child_Health_data[[#This Row],[BMI]]&lt;30,"Overweight","Obese"))))</f>
        <v>Healthy Weight</v>
      </c>
      <c r="M9" s="2" t="str">
        <f t="shared" si="0"/>
        <v>49-60 Months</v>
      </c>
    </row>
    <row r="10" spans="1:13">
      <c r="A10" s="2" t="s">
        <v>23</v>
      </c>
      <c r="B10">
        <v>28</v>
      </c>
      <c r="C10" s="2" t="s">
        <v>19</v>
      </c>
      <c r="D10">
        <v>91.47</v>
      </c>
      <c r="E10">
        <v>16.39</v>
      </c>
      <c r="F10">
        <v>3</v>
      </c>
      <c r="G10">
        <v>2</v>
      </c>
      <c r="H10">
        <v>3</v>
      </c>
      <c r="I10">
        <v>0.8</v>
      </c>
      <c r="J10" s="2" t="s">
        <v>24</v>
      </c>
      <c r="K10" s="2">
        <f>Child_Health_data[[#This Row],[Weight_kg]]/((Child_Health_data[[#This Row],[Height_cm]]/100)^2)</f>
        <v>19.589420799631078</v>
      </c>
      <c r="L10" t="str">
        <f>(IF(Child_Health_data[[#This Row],[BMI]]&lt;18.5,"Underweight",
   IF(Child_Health_data[[#This Row],[BMI]]&lt;25,"Healthy Weight",
   IF(Child_Health_data[[#This Row],[BMI]]&lt;30,"Overweight","Obese"))))</f>
        <v>Healthy Weight</v>
      </c>
      <c r="M10" s="2" t="str">
        <f t="shared" si="0"/>
        <v>24-36 Months</v>
      </c>
    </row>
    <row r="11" spans="1:13">
      <c r="A11" s="2" t="s">
        <v>25</v>
      </c>
      <c r="B11">
        <v>44</v>
      </c>
      <c r="C11" s="2" t="s">
        <v>11</v>
      </c>
      <c r="D11">
        <v>111.89</v>
      </c>
      <c r="E11">
        <v>17.95</v>
      </c>
      <c r="F11">
        <v>1</v>
      </c>
      <c r="G11">
        <v>3</v>
      </c>
      <c r="H11">
        <v>0</v>
      </c>
      <c r="I11">
        <v>0.8</v>
      </c>
      <c r="J11" s="2" t="s">
        <v>14</v>
      </c>
      <c r="K11" s="2">
        <f>Child_Health_data[[#This Row],[Weight_kg]]/((Child_Health_data[[#This Row],[Height_cm]]/100)^2)</f>
        <v>14.337779767724934</v>
      </c>
      <c r="L11" t="str">
        <f>(IF(Child_Health_data[[#This Row],[BMI]]&lt;18.5,"Underweight",
   IF(Child_Health_data[[#This Row],[BMI]]&lt;25,"Healthy Weight",
   IF(Child_Health_data[[#This Row],[BMI]]&lt;30,"Overweight","Obese"))))</f>
        <v>Underweight</v>
      </c>
      <c r="M11" s="2" t="str">
        <f t="shared" si="0"/>
        <v>37-48 Months</v>
      </c>
    </row>
    <row r="12" spans="1:13">
      <c r="A12" s="2" t="s">
        <v>26</v>
      </c>
      <c r="B12">
        <v>25</v>
      </c>
      <c r="C12" s="2" t="s">
        <v>19</v>
      </c>
      <c r="D12">
        <v>96.25</v>
      </c>
      <c r="E12">
        <v>13.5</v>
      </c>
      <c r="F12">
        <v>3</v>
      </c>
      <c r="G12">
        <v>4</v>
      </c>
      <c r="H12">
        <v>0</v>
      </c>
      <c r="I12">
        <v>0.6</v>
      </c>
      <c r="J12" s="2" t="s">
        <v>27</v>
      </c>
      <c r="K12" s="2">
        <f>Child_Health_data[[#This Row],[Weight_kg]]/((Child_Health_data[[#This Row],[Height_cm]]/100)^2)</f>
        <v>14.572440546466519</v>
      </c>
      <c r="L12" t="str">
        <f>(IF(Child_Health_data[[#This Row],[BMI]]&lt;18.5,"Underweight",
   IF(Child_Health_data[[#This Row],[BMI]]&lt;25,"Healthy Weight",
   IF(Child_Health_data[[#This Row],[BMI]]&lt;30,"Overweight","Obese"))))</f>
        <v>Underweight</v>
      </c>
      <c r="M12" s="2" t="str">
        <f t="shared" si="0"/>
        <v>24-36 Months</v>
      </c>
    </row>
    <row r="13" spans="1:13">
      <c r="A13" s="2" t="s">
        <v>28</v>
      </c>
      <c r="B13">
        <v>32</v>
      </c>
      <c r="C13" s="2" t="s">
        <v>11</v>
      </c>
      <c r="D13">
        <v>96.02</v>
      </c>
      <c r="E13">
        <v>16.55</v>
      </c>
      <c r="F13">
        <v>2</v>
      </c>
      <c r="G13">
        <v>0</v>
      </c>
      <c r="H13">
        <v>2</v>
      </c>
      <c r="I13">
        <v>1</v>
      </c>
      <c r="J13" s="2" t="s">
        <v>24</v>
      </c>
      <c r="K13" s="2">
        <f>Child_Health_data[[#This Row],[Weight_kg]]/((Child_Health_data[[#This Row],[Height_cm]]/100)^2)</f>
        <v>17.950419185130364</v>
      </c>
      <c r="L13" t="str">
        <f>(IF(Child_Health_data[[#This Row],[BMI]]&lt;18.5,"Underweight",
   IF(Child_Health_data[[#This Row],[BMI]]&lt;25,"Healthy Weight",
   IF(Child_Health_data[[#This Row],[BMI]]&lt;30,"Overweight","Obese"))))</f>
        <v>Underweight</v>
      </c>
      <c r="M13" s="2" t="str">
        <f t="shared" si="0"/>
        <v>24-36 Months</v>
      </c>
    </row>
    <row r="14" spans="1:13">
      <c r="A14" s="2" t="s">
        <v>29</v>
      </c>
      <c r="B14">
        <v>34</v>
      </c>
      <c r="C14" s="2" t="s">
        <v>19</v>
      </c>
      <c r="D14">
        <v>97.37</v>
      </c>
      <c r="E14">
        <v>15.55</v>
      </c>
      <c r="F14">
        <v>0</v>
      </c>
      <c r="G14">
        <v>1</v>
      </c>
      <c r="H14">
        <v>2</v>
      </c>
      <c r="I14">
        <v>1.3</v>
      </c>
      <c r="J14" s="2" t="s">
        <v>20</v>
      </c>
      <c r="K14" s="2">
        <f>Child_Health_data[[#This Row],[Weight_kg]]/((Child_Health_data[[#This Row],[Height_cm]]/100)^2)</f>
        <v>16.401367255945466</v>
      </c>
      <c r="L14" t="str">
        <f>(IF(Child_Health_data[[#This Row],[BMI]]&lt;18.5,"Underweight",
   IF(Child_Health_data[[#This Row],[BMI]]&lt;25,"Healthy Weight",
   IF(Child_Health_data[[#This Row],[BMI]]&lt;30,"Overweight","Obese"))))</f>
        <v>Underweight</v>
      </c>
      <c r="M14" s="2" t="str">
        <f t="shared" si="0"/>
        <v>24-36 Months</v>
      </c>
    </row>
    <row r="15" spans="1:13">
      <c r="A15" s="2" t="s">
        <v>30</v>
      </c>
      <c r="B15">
        <v>49</v>
      </c>
      <c r="C15" s="2" t="s">
        <v>19</v>
      </c>
      <c r="D15">
        <v>108.39</v>
      </c>
      <c r="E15">
        <v>20.100000000000001</v>
      </c>
      <c r="F15">
        <v>0</v>
      </c>
      <c r="G15">
        <v>2</v>
      </c>
      <c r="H15">
        <v>3</v>
      </c>
      <c r="I15">
        <v>0.6</v>
      </c>
      <c r="J15" s="2" t="s">
        <v>20</v>
      </c>
      <c r="K15" s="2">
        <f>Child_Health_data[[#This Row],[Weight_kg]]/((Child_Health_data[[#This Row],[Height_cm]]/100)^2)</f>
        <v>17.108724180222072</v>
      </c>
      <c r="L15" t="str">
        <f>(IF(Child_Health_data[[#This Row],[BMI]]&lt;18.5,"Underweight",
   IF(Child_Health_data[[#This Row],[BMI]]&lt;25,"Healthy Weight",
   IF(Child_Health_data[[#This Row],[BMI]]&lt;30,"Overweight","Obese"))))</f>
        <v>Underweight</v>
      </c>
      <c r="M15" s="2" t="str">
        <f t="shared" si="0"/>
        <v>49-60 Months</v>
      </c>
    </row>
    <row r="16" spans="1:13">
      <c r="A16" s="2" t="s">
        <v>31</v>
      </c>
      <c r="B16">
        <v>25</v>
      </c>
      <c r="C16" s="2" t="s">
        <v>19</v>
      </c>
      <c r="D16">
        <v>92.58</v>
      </c>
      <c r="E16">
        <v>15.13</v>
      </c>
      <c r="F16">
        <v>2</v>
      </c>
      <c r="G16">
        <v>2</v>
      </c>
      <c r="H16">
        <v>2</v>
      </c>
      <c r="I16">
        <v>1.6</v>
      </c>
      <c r="J16" s="2" t="s">
        <v>14</v>
      </c>
      <c r="K16" s="2">
        <f>Child_Health_data[[#This Row],[Weight_kg]]/((Child_Health_data[[#This Row],[Height_cm]]/100)^2)</f>
        <v>17.652433135313405</v>
      </c>
      <c r="L16" t="str">
        <f>(IF(Child_Health_data[[#This Row],[BMI]]&lt;18.5,"Underweight",
   IF(Child_Health_data[[#This Row],[BMI]]&lt;25,"Healthy Weight",
   IF(Child_Health_data[[#This Row],[BMI]]&lt;30,"Overweight","Obese"))))</f>
        <v>Underweight</v>
      </c>
      <c r="M16" s="2" t="str">
        <f t="shared" si="0"/>
        <v>24-36 Months</v>
      </c>
    </row>
    <row r="17" spans="1:13">
      <c r="A17" s="2" t="s">
        <v>32</v>
      </c>
      <c r="B17">
        <v>38</v>
      </c>
      <c r="C17" s="2" t="s">
        <v>19</v>
      </c>
      <c r="D17">
        <v>99.65</v>
      </c>
      <c r="E17">
        <v>16.940000000000001</v>
      </c>
      <c r="F17">
        <v>1</v>
      </c>
      <c r="G17">
        <v>3</v>
      </c>
      <c r="H17">
        <v>3</v>
      </c>
      <c r="I17">
        <v>2.1</v>
      </c>
      <c r="J17" s="2" t="s">
        <v>14</v>
      </c>
      <c r="K17" s="2">
        <f>Child_Health_data[[#This Row],[Weight_kg]]/((Child_Health_data[[#This Row],[Height_cm]]/100)^2)</f>
        <v>17.059205462973896</v>
      </c>
      <c r="L17" t="str">
        <f>(IF(Child_Health_data[[#This Row],[BMI]]&lt;18.5,"Underweight",
   IF(Child_Health_data[[#This Row],[BMI]]&lt;25,"Healthy Weight",
   IF(Child_Health_data[[#This Row],[BMI]]&lt;30,"Overweight","Obese"))))</f>
        <v>Underweight</v>
      </c>
      <c r="M17" s="2" t="str">
        <f t="shared" si="0"/>
        <v>37-48 Months</v>
      </c>
    </row>
    <row r="18" spans="1:13">
      <c r="A18" s="2" t="s">
        <v>33</v>
      </c>
      <c r="B18">
        <v>38</v>
      </c>
      <c r="C18" s="2" t="s">
        <v>11</v>
      </c>
      <c r="D18">
        <v>98.91</v>
      </c>
      <c r="E18">
        <v>19.489999999999998</v>
      </c>
      <c r="F18">
        <v>0</v>
      </c>
      <c r="G18">
        <v>0</v>
      </c>
      <c r="H18">
        <v>3</v>
      </c>
      <c r="I18">
        <v>3.1</v>
      </c>
      <c r="J18" s="2" t="s">
        <v>14</v>
      </c>
      <c r="K18" s="2">
        <f>Child_Health_data[[#This Row],[Weight_kg]]/((Child_Health_data[[#This Row],[Height_cm]]/100)^2)</f>
        <v>19.92193117497148</v>
      </c>
      <c r="L18" t="str">
        <f>(IF(Child_Health_data[[#This Row],[BMI]]&lt;18.5,"Underweight",
   IF(Child_Health_data[[#This Row],[BMI]]&lt;25,"Healthy Weight",
   IF(Child_Health_data[[#This Row],[BMI]]&lt;30,"Overweight","Obese"))))</f>
        <v>Healthy Weight</v>
      </c>
      <c r="M18" s="2" t="str">
        <f t="shared" si="0"/>
        <v>37-48 Months</v>
      </c>
    </row>
    <row r="19" spans="1:13">
      <c r="A19" s="2" t="s">
        <v>34</v>
      </c>
      <c r="B19">
        <v>25</v>
      </c>
      <c r="C19" s="2" t="s">
        <v>11</v>
      </c>
      <c r="D19">
        <v>96.42</v>
      </c>
      <c r="E19">
        <v>14.69</v>
      </c>
      <c r="F19">
        <v>1</v>
      </c>
      <c r="G19">
        <v>3</v>
      </c>
      <c r="H19">
        <v>2</v>
      </c>
      <c r="I19">
        <v>1.2</v>
      </c>
      <c r="J19" s="2" t="s">
        <v>24</v>
      </c>
      <c r="K19" s="2">
        <f>Child_Health_data[[#This Row],[Weight_kg]]/((Child_Health_data[[#This Row],[Height_cm]]/100)^2)</f>
        <v>15.801108000799067</v>
      </c>
      <c r="L19" t="str">
        <f>(IF(Child_Health_data[[#This Row],[BMI]]&lt;18.5,"Underweight",
   IF(Child_Health_data[[#This Row],[BMI]]&lt;25,"Healthy Weight",
   IF(Child_Health_data[[#This Row],[BMI]]&lt;30,"Overweight","Obese"))))</f>
        <v>Underweight</v>
      </c>
      <c r="M19" s="2" t="str">
        <f t="shared" si="0"/>
        <v>24-36 Months</v>
      </c>
    </row>
    <row r="20" spans="1:13">
      <c r="A20" s="2" t="s">
        <v>35</v>
      </c>
      <c r="B20">
        <v>57</v>
      </c>
      <c r="C20" s="2" t="s">
        <v>11</v>
      </c>
      <c r="D20">
        <v>109.26</v>
      </c>
      <c r="E20">
        <v>20.61</v>
      </c>
      <c r="F20">
        <v>3</v>
      </c>
      <c r="G20">
        <v>2</v>
      </c>
      <c r="H20">
        <v>1</v>
      </c>
      <c r="I20">
        <v>2</v>
      </c>
      <c r="J20" s="2" t="s">
        <v>20</v>
      </c>
      <c r="K20" s="2">
        <f>Child_Health_data[[#This Row],[Weight_kg]]/((Child_Health_data[[#This Row],[Height_cm]]/100)^2)</f>
        <v>17.264563375422682</v>
      </c>
      <c r="L20" t="str">
        <f>(IF(Child_Health_data[[#This Row],[BMI]]&lt;18.5,"Underweight",
   IF(Child_Health_data[[#This Row],[BMI]]&lt;25,"Healthy Weight",
   IF(Child_Health_data[[#This Row],[BMI]]&lt;30,"Overweight","Obese"))))</f>
        <v>Underweight</v>
      </c>
      <c r="M20" s="2" t="str">
        <f t="shared" si="0"/>
        <v>49-60 Months</v>
      </c>
    </row>
    <row r="21" spans="1:13">
      <c r="A21" s="2" t="s">
        <v>36</v>
      </c>
      <c r="B21">
        <v>34</v>
      </c>
      <c r="C21" s="2" t="s">
        <v>19</v>
      </c>
      <c r="D21">
        <v>98.22</v>
      </c>
      <c r="E21">
        <v>15.49</v>
      </c>
      <c r="F21">
        <v>1</v>
      </c>
      <c r="G21">
        <v>2</v>
      </c>
      <c r="H21">
        <v>0</v>
      </c>
      <c r="I21">
        <v>0.8</v>
      </c>
      <c r="J21" s="2" t="s">
        <v>14</v>
      </c>
      <c r="K21" s="2">
        <f>Child_Health_data[[#This Row],[Weight_kg]]/((Child_Health_data[[#This Row],[Height_cm]]/100)^2)</f>
        <v>16.056524938447225</v>
      </c>
      <c r="L21" t="str">
        <f>(IF(Child_Health_data[[#This Row],[BMI]]&lt;18.5,"Underweight",
   IF(Child_Health_data[[#This Row],[BMI]]&lt;25,"Healthy Weight",
   IF(Child_Health_data[[#This Row],[BMI]]&lt;30,"Overweight","Obese"))))</f>
        <v>Underweight</v>
      </c>
      <c r="M21" s="2" t="str">
        <f t="shared" si="0"/>
        <v>24-36 Months</v>
      </c>
    </row>
    <row r="22" spans="1:13">
      <c r="A22" s="2" t="s">
        <v>37</v>
      </c>
      <c r="B22">
        <v>35</v>
      </c>
      <c r="C22" s="2" t="s">
        <v>11</v>
      </c>
      <c r="D22">
        <v>101.02</v>
      </c>
      <c r="E22">
        <v>16.760000000000002</v>
      </c>
      <c r="F22">
        <v>3</v>
      </c>
      <c r="G22">
        <v>2</v>
      </c>
      <c r="H22">
        <v>2</v>
      </c>
      <c r="I22">
        <v>1.9</v>
      </c>
      <c r="J22" s="2" t="s">
        <v>12</v>
      </c>
      <c r="K22" s="2">
        <f>Child_Health_data[[#This Row],[Weight_kg]]/((Child_Health_data[[#This Row],[Height_cm]]/100)^2)</f>
        <v>16.423256883921791</v>
      </c>
      <c r="L22" t="str">
        <f>(IF(Child_Health_data[[#This Row],[BMI]]&lt;18.5,"Underweight",
   IF(Child_Health_data[[#This Row],[BMI]]&lt;25,"Healthy Weight",
   IF(Child_Health_data[[#This Row],[BMI]]&lt;30,"Overweight","Obese"))))</f>
        <v>Underweight</v>
      </c>
      <c r="M22" s="2" t="str">
        <f t="shared" si="0"/>
        <v>24-36 Months</v>
      </c>
    </row>
    <row r="23" spans="1:13">
      <c r="A23" s="2" t="s">
        <v>38</v>
      </c>
      <c r="B23">
        <v>56</v>
      </c>
      <c r="C23" s="2" t="s">
        <v>19</v>
      </c>
      <c r="D23">
        <v>111.44</v>
      </c>
      <c r="E23">
        <v>21.87</v>
      </c>
      <c r="F23">
        <v>4</v>
      </c>
      <c r="G23">
        <v>1</v>
      </c>
      <c r="H23">
        <v>2</v>
      </c>
      <c r="I23">
        <v>1.9</v>
      </c>
      <c r="J23" s="2" t="s">
        <v>20</v>
      </c>
      <c r="K23" s="2">
        <f>Child_Health_data[[#This Row],[Weight_kg]]/((Child_Health_data[[#This Row],[Height_cm]]/100)^2)</f>
        <v>17.610292772445963</v>
      </c>
      <c r="L23" t="str">
        <f>(IF(Child_Health_data[[#This Row],[BMI]]&lt;18.5,"Underweight",
   IF(Child_Health_data[[#This Row],[BMI]]&lt;25,"Healthy Weight",
   IF(Child_Health_data[[#This Row],[BMI]]&lt;30,"Overweight","Obese"))))</f>
        <v>Underweight</v>
      </c>
      <c r="M23" s="2" t="str">
        <f t="shared" si="0"/>
        <v>49-60 Months</v>
      </c>
    </row>
    <row r="24" spans="1:13">
      <c r="A24" s="2" t="s">
        <v>39</v>
      </c>
      <c r="B24">
        <v>46</v>
      </c>
      <c r="C24" s="2" t="s">
        <v>19</v>
      </c>
      <c r="D24">
        <v>103.85</v>
      </c>
      <c r="E24">
        <v>19.47</v>
      </c>
      <c r="F24">
        <v>2</v>
      </c>
      <c r="G24">
        <v>4</v>
      </c>
      <c r="H24">
        <v>3</v>
      </c>
      <c r="I24">
        <v>2.9</v>
      </c>
      <c r="J24" s="2" t="s">
        <v>20</v>
      </c>
      <c r="K24" s="2">
        <f>Child_Health_data[[#This Row],[Weight_kg]]/((Child_Health_data[[#This Row],[Height_cm]]/100)^2)</f>
        <v>18.053148301698982</v>
      </c>
      <c r="L24" t="str">
        <f>(IF(Child_Health_data[[#This Row],[BMI]]&lt;18.5,"Underweight",
   IF(Child_Health_data[[#This Row],[BMI]]&lt;25,"Healthy Weight",
   IF(Child_Health_data[[#This Row],[BMI]]&lt;30,"Overweight","Obese"))))</f>
        <v>Underweight</v>
      </c>
      <c r="M24" s="2" t="str">
        <f t="shared" si="0"/>
        <v>37-48 Months</v>
      </c>
    </row>
    <row r="25" spans="1:13">
      <c r="A25" s="2" t="s">
        <v>40</v>
      </c>
      <c r="B25">
        <v>35</v>
      </c>
      <c r="C25" s="2" t="s">
        <v>11</v>
      </c>
      <c r="D25">
        <v>102.67</v>
      </c>
      <c r="E25">
        <v>13.79</v>
      </c>
      <c r="F25">
        <v>4</v>
      </c>
      <c r="G25">
        <v>1</v>
      </c>
      <c r="H25">
        <v>1</v>
      </c>
      <c r="I25">
        <v>2</v>
      </c>
      <c r="J25" s="2" t="s">
        <v>14</v>
      </c>
      <c r="K25" s="2">
        <f>Child_Health_data[[#This Row],[Weight_kg]]/((Child_Health_data[[#This Row],[Height_cm]]/100)^2)</f>
        <v>13.082090287312587</v>
      </c>
      <c r="L25" t="str">
        <f>(IF(Child_Health_data[[#This Row],[BMI]]&lt;18.5,"Underweight",
   IF(Child_Health_data[[#This Row],[BMI]]&lt;25,"Healthy Weight",
   IF(Child_Health_data[[#This Row],[BMI]]&lt;30,"Overweight","Obese"))))</f>
        <v>Underweight</v>
      </c>
      <c r="M25" s="2" t="str">
        <f t="shared" si="0"/>
        <v>24-36 Months</v>
      </c>
    </row>
    <row r="26" spans="1:13">
      <c r="A26" s="2" t="s">
        <v>41</v>
      </c>
      <c r="B26">
        <v>52</v>
      </c>
      <c r="C26" s="2" t="s">
        <v>19</v>
      </c>
      <c r="D26">
        <v>107.91</v>
      </c>
      <c r="E26">
        <v>19.27</v>
      </c>
      <c r="F26">
        <v>4</v>
      </c>
      <c r="G26">
        <v>0</v>
      </c>
      <c r="H26">
        <v>0</v>
      </c>
      <c r="I26">
        <v>0.8</v>
      </c>
      <c r="J26" s="2" t="s">
        <v>20</v>
      </c>
      <c r="K26" s="2">
        <f>Child_Health_data[[#This Row],[Weight_kg]]/((Child_Health_data[[#This Row],[Height_cm]]/100)^2)</f>
        <v>16.548488389191526</v>
      </c>
      <c r="L26" t="str">
        <f>(IF(Child_Health_data[[#This Row],[BMI]]&lt;18.5,"Underweight",
   IF(Child_Health_data[[#This Row],[BMI]]&lt;25,"Healthy Weight",
   IF(Child_Health_data[[#This Row],[BMI]]&lt;30,"Overweight","Obese"))))</f>
        <v>Underweight</v>
      </c>
      <c r="M26" s="2" t="str">
        <f t="shared" si="0"/>
        <v>49-60 Months</v>
      </c>
    </row>
    <row r="27" spans="1:13">
      <c r="A27" s="2" t="s">
        <v>42</v>
      </c>
      <c r="B27">
        <v>30</v>
      </c>
      <c r="C27" s="2" t="s">
        <v>11</v>
      </c>
      <c r="D27">
        <v>96.67</v>
      </c>
      <c r="E27">
        <v>15.72</v>
      </c>
      <c r="F27">
        <v>3</v>
      </c>
      <c r="G27">
        <v>1</v>
      </c>
      <c r="H27">
        <v>2</v>
      </c>
      <c r="I27">
        <v>1.2</v>
      </c>
      <c r="J27" s="2" t="s">
        <v>24</v>
      </c>
      <c r="K27" s="2">
        <f>Child_Health_data[[#This Row],[Weight_kg]]/((Child_Health_data[[#This Row],[Height_cm]]/100)^2)</f>
        <v>16.821669829165565</v>
      </c>
      <c r="L27" t="str">
        <f>(IF(Child_Health_data[[#This Row],[BMI]]&lt;18.5,"Underweight",
   IF(Child_Health_data[[#This Row],[BMI]]&lt;25,"Healthy Weight",
   IF(Child_Health_data[[#This Row],[BMI]]&lt;30,"Overweight","Obese"))))</f>
        <v>Underweight</v>
      </c>
      <c r="M27" s="2" t="str">
        <f t="shared" si="0"/>
        <v>24-36 Months</v>
      </c>
    </row>
    <row r="28" spans="1:13">
      <c r="A28" s="2" t="s">
        <v>43</v>
      </c>
      <c r="B28">
        <v>35</v>
      </c>
      <c r="C28" s="2" t="s">
        <v>19</v>
      </c>
      <c r="D28">
        <v>101.41</v>
      </c>
      <c r="E28">
        <v>19.45</v>
      </c>
      <c r="F28">
        <v>0</v>
      </c>
      <c r="G28">
        <v>4</v>
      </c>
      <c r="H28">
        <v>2</v>
      </c>
      <c r="I28">
        <v>1.9</v>
      </c>
      <c r="J28" s="2" t="s">
        <v>12</v>
      </c>
      <c r="K28" s="2">
        <f>Child_Health_data[[#This Row],[Weight_kg]]/((Child_Health_data[[#This Row],[Height_cm]]/100)^2)</f>
        <v>18.912896252767929</v>
      </c>
      <c r="L28" t="str">
        <f>(IF(Child_Health_data[[#This Row],[BMI]]&lt;18.5,"Underweight",
   IF(Child_Health_data[[#This Row],[BMI]]&lt;25,"Healthy Weight",
   IF(Child_Health_data[[#This Row],[BMI]]&lt;30,"Overweight","Obese"))))</f>
        <v>Healthy Weight</v>
      </c>
      <c r="M28" s="2" t="str">
        <f t="shared" si="0"/>
        <v>24-36 Months</v>
      </c>
    </row>
    <row r="29" spans="1:13">
      <c r="A29" s="2" t="s">
        <v>44</v>
      </c>
      <c r="B29">
        <v>32</v>
      </c>
      <c r="C29" s="2" t="s">
        <v>11</v>
      </c>
      <c r="D29">
        <v>102.28</v>
      </c>
      <c r="E29">
        <v>11.75</v>
      </c>
      <c r="F29">
        <v>2</v>
      </c>
      <c r="G29">
        <v>1</v>
      </c>
      <c r="H29">
        <v>1</v>
      </c>
      <c r="I29">
        <v>1.3</v>
      </c>
      <c r="J29" s="2" t="s">
        <v>20</v>
      </c>
      <c r="K29" s="2">
        <f>Child_Health_data[[#This Row],[Weight_kg]]/((Child_Health_data[[#This Row],[Height_cm]]/100)^2)</f>
        <v>11.23198275256877</v>
      </c>
      <c r="L29" t="str">
        <f>(IF(Child_Health_data[[#This Row],[BMI]]&lt;18.5,"Underweight",
   IF(Child_Health_data[[#This Row],[BMI]]&lt;25,"Healthy Weight",
   IF(Child_Health_data[[#This Row],[BMI]]&lt;30,"Overweight","Obese"))))</f>
        <v>Underweight</v>
      </c>
      <c r="M29" s="2" t="str">
        <f t="shared" si="0"/>
        <v>24-36 Months</v>
      </c>
    </row>
    <row r="30" spans="1:13">
      <c r="A30" s="2" t="s">
        <v>45</v>
      </c>
      <c r="B30">
        <v>46</v>
      </c>
      <c r="C30" s="2" t="s">
        <v>19</v>
      </c>
      <c r="D30">
        <v>105.06</v>
      </c>
      <c r="E30">
        <v>17.260000000000002</v>
      </c>
      <c r="F30">
        <v>4</v>
      </c>
      <c r="G30">
        <v>1</v>
      </c>
      <c r="H30">
        <v>2</v>
      </c>
      <c r="I30">
        <v>0.8</v>
      </c>
      <c r="J30" s="2" t="s">
        <v>14</v>
      </c>
      <c r="K30" s="2">
        <f>Child_Health_data[[#This Row],[Weight_kg]]/((Child_Health_data[[#This Row],[Height_cm]]/100)^2)</f>
        <v>15.637452318001349</v>
      </c>
      <c r="L30" t="str">
        <f>(IF(Child_Health_data[[#This Row],[BMI]]&lt;18.5,"Underweight",
   IF(Child_Health_data[[#This Row],[BMI]]&lt;25,"Healthy Weight",
   IF(Child_Health_data[[#This Row],[BMI]]&lt;30,"Overweight","Obese"))))</f>
        <v>Underweight</v>
      </c>
      <c r="M30" s="2" t="str">
        <f t="shared" si="0"/>
        <v>37-48 Months</v>
      </c>
    </row>
    <row r="31" spans="1:13">
      <c r="A31" s="2" t="s">
        <v>46</v>
      </c>
      <c r="B31">
        <v>43</v>
      </c>
      <c r="C31" s="2" t="s">
        <v>19</v>
      </c>
      <c r="D31">
        <v>103.22</v>
      </c>
      <c r="E31">
        <v>20.74</v>
      </c>
      <c r="F31">
        <v>2</v>
      </c>
      <c r="G31">
        <v>2</v>
      </c>
      <c r="H31">
        <v>3</v>
      </c>
      <c r="I31">
        <v>2.1</v>
      </c>
      <c r="J31" s="2" t="s">
        <v>12</v>
      </c>
      <c r="K31" s="2">
        <f>Child_Health_data[[#This Row],[Weight_kg]]/((Child_Health_data[[#This Row],[Height_cm]]/100)^2)</f>
        <v>19.466193791459283</v>
      </c>
      <c r="L31" t="str">
        <f>(IF(Child_Health_data[[#This Row],[BMI]]&lt;18.5,"Underweight",
   IF(Child_Health_data[[#This Row],[BMI]]&lt;25,"Healthy Weight",
   IF(Child_Health_data[[#This Row],[BMI]]&lt;30,"Overweight","Obese"))))</f>
        <v>Healthy Weight</v>
      </c>
      <c r="M31" s="2" t="str">
        <f t="shared" si="0"/>
        <v>37-48 Months</v>
      </c>
    </row>
    <row r="32" spans="1:13">
      <c r="A32" s="2" t="s">
        <v>47</v>
      </c>
      <c r="B32">
        <v>46</v>
      </c>
      <c r="C32" s="2" t="s">
        <v>11</v>
      </c>
      <c r="D32">
        <v>105.42</v>
      </c>
      <c r="E32">
        <v>20.23</v>
      </c>
      <c r="F32">
        <v>4</v>
      </c>
      <c r="G32">
        <v>0</v>
      </c>
      <c r="H32">
        <v>2</v>
      </c>
      <c r="I32">
        <v>2.2999999999999998</v>
      </c>
      <c r="J32" s="2" t="s">
        <v>27</v>
      </c>
      <c r="K32" s="2">
        <f>Child_Health_data[[#This Row],[Weight_kg]]/((Child_Health_data[[#This Row],[Height_cm]]/100)^2)</f>
        <v>18.203288786295403</v>
      </c>
      <c r="L32" t="str">
        <f>(IF(Child_Health_data[[#This Row],[BMI]]&lt;18.5,"Underweight",
   IF(Child_Health_data[[#This Row],[BMI]]&lt;25,"Healthy Weight",
   IF(Child_Health_data[[#This Row],[BMI]]&lt;30,"Overweight","Obese"))))</f>
        <v>Underweight</v>
      </c>
      <c r="M32" s="2" t="str">
        <f t="shared" si="0"/>
        <v>37-48 Months</v>
      </c>
    </row>
    <row r="33" spans="1:13">
      <c r="A33" s="2" t="s">
        <v>48</v>
      </c>
      <c r="B33">
        <v>32</v>
      </c>
      <c r="C33" s="2" t="s">
        <v>19</v>
      </c>
      <c r="D33">
        <v>97.29</v>
      </c>
      <c r="E33">
        <v>12.89</v>
      </c>
      <c r="F33">
        <v>4</v>
      </c>
      <c r="G33">
        <v>2</v>
      </c>
      <c r="H33">
        <v>2</v>
      </c>
      <c r="I33">
        <v>1.3</v>
      </c>
      <c r="J33" s="2" t="s">
        <v>14</v>
      </c>
      <c r="K33" s="2">
        <f>Child_Health_data[[#This Row],[Weight_kg]]/((Child_Health_data[[#This Row],[Height_cm]]/100)^2)</f>
        <v>13.618099737124188</v>
      </c>
      <c r="L33" t="str">
        <f>(IF(Child_Health_data[[#This Row],[BMI]]&lt;18.5,"Underweight",
   IF(Child_Health_data[[#This Row],[BMI]]&lt;25,"Healthy Weight",
   IF(Child_Health_data[[#This Row],[BMI]]&lt;30,"Overweight","Obese"))))</f>
        <v>Underweight</v>
      </c>
      <c r="M33" s="2" t="str">
        <f t="shared" si="0"/>
        <v>24-36 Months</v>
      </c>
    </row>
    <row r="34" spans="1:13">
      <c r="A34" s="2" t="s">
        <v>49</v>
      </c>
      <c r="B34">
        <v>46</v>
      </c>
      <c r="C34" s="2" t="s">
        <v>19</v>
      </c>
      <c r="D34">
        <v>106.22</v>
      </c>
      <c r="E34">
        <v>19.48</v>
      </c>
      <c r="F34">
        <v>4</v>
      </c>
      <c r="G34">
        <v>3</v>
      </c>
      <c r="H34">
        <v>0</v>
      </c>
      <c r="I34">
        <v>0.7</v>
      </c>
      <c r="J34" s="2" t="s">
        <v>12</v>
      </c>
      <c r="K34" s="2">
        <f>Child_Health_data[[#This Row],[Weight_kg]]/((Child_Health_data[[#This Row],[Height_cm]]/100)^2)</f>
        <v>17.26538862847617</v>
      </c>
      <c r="L34" t="str">
        <f>(IF(Child_Health_data[[#This Row],[BMI]]&lt;18.5,"Underweight",
   IF(Child_Health_data[[#This Row],[BMI]]&lt;25,"Healthy Weight",
   IF(Child_Health_data[[#This Row],[BMI]]&lt;30,"Overweight","Obese"))))</f>
        <v>Underweight</v>
      </c>
      <c r="M34" s="2" t="str">
        <f t="shared" si="0"/>
        <v>37-48 Months</v>
      </c>
    </row>
    <row r="35" spans="1:13">
      <c r="A35" s="2" t="s">
        <v>50</v>
      </c>
      <c r="B35">
        <v>56</v>
      </c>
      <c r="C35" s="2" t="s">
        <v>11</v>
      </c>
      <c r="D35">
        <v>114.63</v>
      </c>
      <c r="E35">
        <v>20.11</v>
      </c>
      <c r="F35">
        <v>2</v>
      </c>
      <c r="G35">
        <v>1</v>
      </c>
      <c r="H35">
        <v>0</v>
      </c>
      <c r="I35">
        <v>0.8</v>
      </c>
      <c r="J35" s="2" t="s">
        <v>27</v>
      </c>
      <c r="K35" s="2">
        <f>Child_Health_data[[#This Row],[Weight_kg]]/((Child_Health_data[[#This Row],[Height_cm]]/100)^2)</f>
        <v>15.304371025015923</v>
      </c>
      <c r="L35" t="str">
        <f>(IF(Child_Health_data[[#This Row],[BMI]]&lt;18.5,"Underweight",
   IF(Child_Health_data[[#This Row],[BMI]]&lt;25,"Healthy Weight",
   IF(Child_Health_data[[#This Row],[BMI]]&lt;30,"Overweight","Obese"))))</f>
        <v>Underweight</v>
      </c>
      <c r="M35" s="2" t="str">
        <f t="shared" si="0"/>
        <v>49-60 Months</v>
      </c>
    </row>
    <row r="36" spans="1:13">
      <c r="A36" s="2" t="s">
        <v>51</v>
      </c>
      <c r="B36">
        <v>30</v>
      </c>
      <c r="C36" s="2" t="s">
        <v>11</v>
      </c>
      <c r="D36">
        <v>93.15</v>
      </c>
      <c r="E36">
        <v>14.24</v>
      </c>
      <c r="F36">
        <v>1</v>
      </c>
      <c r="G36">
        <v>1</v>
      </c>
      <c r="H36">
        <v>2</v>
      </c>
      <c r="I36">
        <v>1.3</v>
      </c>
      <c r="J36" s="2" t="s">
        <v>14</v>
      </c>
      <c r="K36" s="2">
        <f>Child_Health_data[[#This Row],[Weight_kg]]/((Child_Health_data[[#This Row],[Height_cm]]/100)^2)</f>
        <v>16.411348608910586</v>
      </c>
      <c r="L36" t="str">
        <f>(IF(Child_Health_data[[#This Row],[BMI]]&lt;18.5,"Underweight",
   IF(Child_Health_data[[#This Row],[BMI]]&lt;25,"Healthy Weight",
   IF(Child_Health_data[[#This Row],[BMI]]&lt;30,"Overweight","Obese"))))</f>
        <v>Underweight</v>
      </c>
      <c r="M36" s="2" t="str">
        <f t="shared" si="0"/>
        <v>24-36 Months</v>
      </c>
    </row>
    <row r="37" spans="1:13">
      <c r="A37" s="2" t="s">
        <v>52</v>
      </c>
      <c r="B37">
        <v>44</v>
      </c>
      <c r="C37" s="2" t="s">
        <v>11</v>
      </c>
      <c r="D37">
        <v>102.36</v>
      </c>
      <c r="E37">
        <v>19.600000000000001</v>
      </c>
      <c r="F37">
        <v>1</v>
      </c>
      <c r="G37">
        <v>2</v>
      </c>
      <c r="H37">
        <v>0</v>
      </c>
      <c r="I37">
        <v>0.9</v>
      </c>
      <c r="J37" s="2" t="s">
        <v>27</v>
      </c>
      <c r="K37" s="2">
        <f>Child_Health_data[[#This Row],[Weight_kg]]/((Child_Health_data[[#This Row],[Height_cm]]/100)^2)</f>
        <v>18.706628300517327</v>
      </c>
      <c r="L37" t="str">
        <f>(IF(Child_Health_data[[#This Row],[BMI]]&lt;18.5,"Underweight",
   IF(Child_Health_data[[#This Row],[BMI]]&lt;25,"Healthy Weight",
   IF(Child_Health_data[[#This Row],[BMI]]&lt;30,"Overweight","Obese"))))</f>
        <v>Healthy Weight</v>
      </c>
      <c r="M37" s="2" t="str">
        <f t="shared" si="0"/>
        <v>37-48 Months</v>
      </c>
    </row>
    <row r="38" spans="1:13">
      <c r="A38" s="2" t="s">
        <v>53</v>
      </c>
      <c r="B38">
        <v>43</v>
      </c>
      <c r="C38" s="2" t="s">
        <v>11</v>
      </c>
      <c r="D38">
        <v>105.34</v>
      </c>
      <c r="E38">
        <v>14.14</v>
      </c>
      <c r="F38">
        <v>4</v>
      </c>
      <c r="G38">
        <v>3</v>
      </c>
      <c r="H38">
        <v>0</v>
      </c>
      <c r="I38">
        <v>0.8</v>
      </c>
      <c r="J38" s="2" t="s">
        <v>20</v>
      </c>
      <c r="K38" s="2">
        <f>Child_Health_data[[#This Row],[Weight_kg]]/((Child_Health_data[[#This Row],[Height_cm]]/100)^2)</f>
        <v>12.742738810730817</v>
      </c>
      <c r="L38" t="str">
        <f>(IF(Child_Health_data[[#This Row],[BMI]]&lt;18.5,"Underweight",
   IF(Child_Health_data[[#This Row],[BMI]]&lt;25,"Healthy Weight",
   IF(Child_Health_data[[#This Row],[BMI]]&lt;30,"Overweight","Obese"))))</f>
        <v>Underweight</v>
      </c>
      <c r="M38" s="2" t="str">
        <f t="shared" si="0"/>
        <v>37-48 Months</v>
      </c>
    </row>
    <row r="39" spans="1:13">
      <c r="A39" s="2" t="s">
        <v>54</v>
      </c>
      <c r="B39">
        <v>31</v>
      </c>
      <c r="C39" s="2" t="s">
        <v>11</v>
      </c>
      <c r="D39">
        <v>96.26</v>
      </c>
      <c r="E39">
        <v>17.63</v>
      </c>
      <c r="F39">
        <v>3</v>
      </c>
      <c r="G39">
        <v>3</v>
      </c>
      <c r="H39">
        <v>2</v>
      </c>
      <c r="I39">
        <v>1.7</v>
      </c>
      <c r="J39" s="2" t="s">
        <v>20</v>
      </c>
      <c r="K39" s="2">
        <f>Child_Health_data[[#This Row],[Weight_kg]]/((Child_Health_data[[#This Row],[Height_cm]]/100)^2)</f>
        <v>19.026574134418222</v>
      </c>
      <c r="L39" t="str">
        <f>(IF(Child_Health_data[[#This Row],[BMI]]&lt;18.5,"Underweight",
   IF(Child_Health_data[[#This Row],[BMI]]&lt;25,"Healthy Weight",
   IF(Child_Health_data[[#This Row],[BMI]]&lt;30,"Overweight","Obese"))))</f>
        <v>Healthy Weight</v>
      </c>
      <c r="M39" s="2" t="str">
        <f t="shared" si="0"/>
        <v>24-36 Months</v>
      </c>
    </row>
    <row r="40" spans="1:13">
      <c r="A40" s="2" t="s">
        <v>55</v>
      </c>
      <c r="B40">
        <v>28</v>
      </c>
      <c r="C40" s="2" t="s">
        <v>19</v>
      </c>
      <c r="D40">
        <v>97.25</v>
      </c>
      <c r="E40">
        <v>14.98</v>
      </c>
      <c r="F40">
        <v>3</v>
      </c>
      <c r="G40">
        <v>4</v>
      </c>
      <c r="H40">
        <v>3</v>
      </c>
      <c r="I40">
        <v>3.2</v>
      </c>
      <c r="J40" s="2" t="s">
        <v>14</v>
      </c>
      <c r="K40" s="2">
        <f>Child_Health_data[[#This Row],[Weight_kg]]/((Child_Health_data[[#This Row],[Height_cm]]/100)^2)</f>
        <v>15.839176320537135</v>
      </c>
      <c r="L40" t="str">
        <f>(IF(Child_Health_data[[#This Row],[BMI]]&lt;18.5,"Underweight",
   IF(Child_Health_data[[#This Row],[BMI]]&lt;25,"Healthy Weight",
   IF(Child_Health_data[[#This Row],[BMI]]&lt;30,"Overweight","Obese"))))</f>
        <v>Underweight</v>
      </c>
      <c r="M40" s="2" t="str">
        <f t="shared" si="0"/>
        <v>24-36 Months</v>
      </c>
    </row>
    <row r="41" spans="1:13">
      <c r="A41" s="2" t="s">
        <v>56</v>
      </c>
      <c r="B41">
        <v>48</v>
      </c>
      <c r="C41" s="2" t="s">
        <v>19</v>
      </c>
      <c r="D41">
        <v>108.23</v>
      </c>
      <c r="E41">
        <v>21</v>
      </c>
      <c r="F41">
        <v>3</v>
      </c>
      <c r="G41">
        <v>4</v>
      </c>
      <c r="H41">
        <v>0</v>
      </c>
      <c r="I41">
        <v>0.6</v>
      </c>
      <c r="J41" s="2" t="s">
        <v>14</v>
      </c>
      <c r="K41" s="2">
        <f>Child_Health_data[[#This Row],[Weight_kg]]/((Child_Health_data[[#This Row],[Height_cm]]/100)^2)</f>
        <v>17.927675301525785</v>
      </c>
      <c r="L41" t="str">
        <f>(IF(Child_Health_data[[#This Row],[BMI]]&lt;18.5,"Underweight",
   IF(Child_Health_data[[#This Row],[BMI]]&lt;25,"Healthy Weight",
   IF(Child_Health_data[[#This Row],[BMI]]&lt;30,"Overweight","Obese"))))</f>
        <v>Underweight</v>
      </c>
      <c r="M41" s="2" t="str">
        <f t="shared" si="0"/>
        <v>37-48 Months</v>
      </c>
    </row>
    <row r="42" spans="1:13">
      <c r="A42" s="2" t="s">
        <v>57</v>
      </c>
      <c r="B42">
        <v>27</v>
      </c>
      <c r="C42" s="2" t="s">
        <v>19</v>
      </c>
      <c r="D42">
        <v>97</v>
      </c>
      <c r="E42">
        <v>15.12</v>
      </c>
      <c r="F42">
        <v>4</v>
      </c>
      <c r="G42">
        <v>0</v>
      </c>
      <c r="H42">
        <v>1</v>
      </c>
      <c r="I42">
        <v>1.7</v>
      </c>
      <c r="J42" s="2" t="s">
        <v>24</v>
      </c>
      <c r="K42" s="2">
        <f>Child_Health_data[[#This Row],[Weight_kg]]/((Child_Health_data[[#This Row],[Height_cm]]/100)^2)</f>
        <v>16.069720480391116</v>
      </c>
      <c r="L42" t="str">
        <f>(IF(Child_Health_data[[#This Row],[BMI]]&lt;18.5,"Underweight",
   IF(Child_Health_data[[#This Row],[BMI]]&lt;25,"Healthy Weight",
   IF(Child_Health_data[[#This Row],[BMI]]&lt;30,"Overweight","Obese"))))</f>
        <v>Underweight</v>
      </c>
      <c r="M42" s="2" t="str">
        <f t="shared" si="0"/>
        <v>24-36 Months</v>
      </c>
    </row>
    <row r="43" spans="1:13">
      <c r="A43" s="2" t="s">
        <v>58</v>
      </c>
      <c r="B43">
        <v>45</v>
      </c>
      <c r="C43" s="2" t="s">
        <v>19</v>
      </c>
      <c r="D43">
        <v>107.27</v>
      </c>
      <c r="E43">
        <v>22.7</v>
      </c>
      <c r="F43">
        <v>4</v>
      </c>
      <c r="G43">
        <v>0</v>
      </c>
      <c r="H43">
        <v>0</v>
      </c>
      <c r="I43">
        <v>0.8</v>
      </c>
      <c r="J43" s="2" t="s">
        <v>12</v>
      </c>
      <c r="K43" s="2">
        <f>Child_Health_data[[#This Row],[Weight_kg]]/((Child_Health_data[[#This Row],[Height_cm]]/100)^2)</f>
        <v>19.727374806364303</v>
      </c>
      <c r="L43" t="str">
        <f>(IF(Child_Health_data[[#This Row],[BMI]]&lt;18.5,"Underweight",
   IF(Child_Health_data[[#This Row],[BMI]]&lt;25,"Healthy Weight",
   IF(Child_Health_data[[#This Row],[BMI]]&lt;30,"Overweight","Obese"))))</f>
        <v>Healthy Weight</v>
      </c>
      <c r="M43" s="2" t="str">
        <f t="shared" si="0"/>
        <v>37-48 Months</v>
      </c>
    </row>
    <row r="44" spans="1:13">
      <c r="A44" s="2" t="s">
        <v>59</v>
      </c>
      <c r="B44">
        <v>54</v>
      </c>
      <c r="C44" s="2" t="s">
        <v>19</v>
      </c>
      <c r="D44">
        <v>112.46</v>
      </c>
      <c r="E44">
        <v>21.36</v>
      </c>
      <c r="F44">
        <v>2</v>
      </c>
      <c r="G44">
        <v>0</v>
      </c>
      <c r="H44">
        <v>1</v>
      </c>
      <c r="I44">
        <v>1</v>
      </c>
      <c r="J44" s="2" t="s">
        <v>14</v>
      </c>
      <c r="K44" s="2">
        <f>Child_Health_data[[#This Row],[Weight_kg]]/((Child_Health_data[[#This Row],[Height_cm]]/100)^2)</f>
        <v>16.889044889405064</v>
      </c>
      <c r="L44" t="str">
        <f>(IF(Child_Health_data[[#This Row],[BMI]]&lt;18.5,"Underweight",
   IF(Child_Health_data[[#This Row],[BMI]]&lt;25,"Healthy Weight",
   IF(Child_Health_data[[#This Row],[BMI]]&lt;30,"Overweight","Obese"))))</f>
        <v>Underweight</v>
      </c>
      <c r="M44" s="2" t="str">
        <f t="shared" si="0"/>
        <v>49-60 Months</v>
      </c>
    </row>
    <row r="45" spans="1:13">
      <c r="A45" s="2" t="s">
        <v>60</v>
      </c>
      <c r="B45">
        <v>40</v>
      </c>
      <c r="C45" s="2" t="s">
        <v>19</v>
      </c>
      <c r="D45">
        <v>103.32</v>
      </c>
      <c r="E45">
        <v>17.41</v>
      </c>
      <c r="F45">
        <v>1</v>
      </c>
      <c r="G45">
        <v>0</v>
      </c>
      <c r="H45">
        <v>2</v>
      </c>
      <c r="I45">
        <v>2</v>
      </c>
      <c r="J45" s="2" t="s">
        <v>20</v>
      </c>
      <c r="K45" s="2">
        <f>Child_Health_data[[#This Row],[Weight_kg]]/((Child_Health_data[[#This Row],[Height_cm]]/100)^2)</f>
        <v>16.309099267089127</v>
      </c>
      <c r="L45" t="str">
        <f>(IF(Child_Health_data[[#This Row],[BMI]]&lt;18.5,"Underweight",
   IF(Child_Health_data[[#This Row],[BMI]]&lt;25,"Healthy Weight",
   IF(Child_Health_data[[#This Row],[BMI]]&lt;30,"Overweight","Obese"))))</f>
        <v>Underweight</v>
      </c>
      <c r="M45" s="2" t="str">
        <f t="shared" si="0"/>
        <v>37-48 Months</v>
      </c>
    </row>
    <row r="46" spans="1:13">
      <c r="A46" s="2" t="s">
        <v>61</v>
      </c>
      <c r="B46">
        <v>52</v>
      </c>
      <c r="C46" s="2" t="s">
        <v>11</v>
      </c>
      <c r="D46">
        <v>107.31</v>
      </c>
      <c r="E46">
        <v>17.34</v>
      </c>
      <c r="F46">
        <v>1</v>
      </c>
      <c r="G46">
        <v>3</v>
      </c>
      <c r="H46">
        <v>0</v>
      </c>
      <c r="I46">
        <v>0.5</v>
      </c>
      <c r="J46" s="2" t="s">
        <v>24</v>
      </c>
      <c r="K46" s="2">
        <f>Child_Health_data[[#This Row],[Weight_kg]]/((Child_Health_data[[#This Row],[Height_cm]]/100)^2)</f>
        <v>15.058048908803379</v>
      </c>
      <c r="L46" t="str">
        <f>(IF(Child_Health_data[[#This Row],[BMI]]&lt;18.5,"Underweight",
   IF(Child_Health_data[[#This Row],[BMI]]&lt;25,"Healthy Weight",
   IF(Child_Health_data[[#This Row],[BMI]]&lt;30,"Overweight","Obese"))))</f>
        <v>Underweight</v>
      </c>
      <c r="M46" s="2" t="str">
        <f t="shared" si="0"/>
        <v>49-60 Months</v>
      </c>
    </row>
    <row r="47" spans="1:13">
      <c r="A47" s="2" t="s">
        <v>62</v>
      </c>
      <c r="B47">
        <v>34</v>
      </c>
      <c r="C47" s="2" t="s">
        <v>19</v>
      </c>
      <c r="D47">
        <v>99.12</v>
      </c>
      <c r="E47">
        <v>17.43</v>
      </c>
      <c r="F47">
        <v>3</v>
      </c>
      <c r="G47">
        <v>4</v>
      </c>
      <c r="H47">
        <v>3</v>
      </c>
      <c r="I47">
        <v>1.6</v>
      </c>
      <c r="J47" s="2" t="s">
        <v>12</v>
      </c>
      <c r="K47" s="2">
        <f>Child_Health_data[[#This Row],[Weight_kg]]/((Child_Health_data[[#This Row],[Height_cm]]/100)^2)</f>
        <v>17.740865378038603</v>
      </c>
      <c r="L47" t="str">
        <f>(IF(Child_Health_data[[#This Row],[BMI]]&lt;18.5,"Underweight",
   IF(Child_Health_data[[#This Row],[BMI]]&lt;25,"Healthy Weight",
   IF(Child_Health_data[[#This Row],[BMI]]&lt;30,"Overweight","Obese"))))</f>
        <v>Underweight</v>
      </c>
      <c r="M47" s="2" t="str">
        <f t="shared" si="0"/>
        <v>24-36 Months</v>
      </c>
    </row>
    <row r="48" spans="1:13">
      <c r="A48" s="2" t="s">
        <v>63</v>
      </c>
      <c r="B48">
        <v>27</v>
      </c>
      <c r="C48" s="2" t="s">
        <v>19</v>
      </c>
      <c r="D48">
        <v>93.16</v>
      </c>
      <c r="E48">
        <v>15.53</v>
      </c>
      <c r="F48">
        <v>2</v>
      </c>
      <c r="G48">
        <v>2</v>
      </c>
      <c r="H48">
        <v>0</v>
      </c>
      <c r="I48">
        <v>0.8</v>
      </c>
      <c r="J48" s="2" t="s">
        <v>14</v>
      </c>
      <c r="K48" s="2">
        <f>Child_Health_data[[#This Row],[Weight_kg]]/((Child_Health_data[[#This Row],[Height_cm]]/100)^2)</f>
        <v>17.89420860909388</v>
      </c>
      <c r="L48" t="str">
        <f>(IF(Child_Health_data[[#This Row],[BMI]]&lt;18.5,"Underweight",
   IF(Child_Health_data[[#This Row],[BMI]]&lt;25,"Healthy Weight",
   IF(Child_Health_data[[#This Row],[BMI]]&lt;30,"Overweight","Obese"))))</f>
        <v>Underweight</v>
      </c>
      <c r="M48" s="2" t="str">
        <f t="shared" si="0"/>
        <v>24-36 Months</v>
      </c>
    </row>
    <row r="49" spans="1:13">
      <c r="A49" s="2" t="s">
        <v>64</v>
      </c>
      <c r="B49">
        <v>55</v>
      </c>
      <c r="C49" s="2" t="s">
        <v>19</v>
      </c>
      <c r="D49">
        <v>111.49</v>
      </c>
      <c r="E49">
        <v>20.23</v>
      </c>
      <c r="F49">
        <v>1</v>
      </c>
      <c r="G49">
        <v>0</v>
      </c>
      <c r="H49">
        <v>1</v>
      </c>
      <c r="I49">
        <v>1.6</v>
      </c>
      <c r="J49" s="2" t="s">
        <v>24</v>
      </c>
      <c r="K49" s="2">
        <f>Child_Health_data[[#This Row],[Weight_kg]]/((Child_Health_data[[#This Row],[Height_cm]]/100)^2)</f>
        <v>16.27511447065158</v>
      </c>
      <c r="L49" t="str">
        <f>(IF(Child_Health_data[[#This Row],[BMI]]&lt;18.5,"Underweight",
   IF(Child_Health_data[[#This Row],[BMI]]&lt;25,"Healthy Weight",
   IF(Child_Health_data[[#This Row],[BMI]]&lt;30,"Overweight","Obese"))))</f>
        <v>Underweight</v>
      </c>
      <c r="M49" s="2" t="str">
        <f t="shared" si="0"/>
        <v>49-60 Months</v>
      </c>
    </row>
    <row r="50" spans="1:13">
      <c r="A50" s="2" t="s">
        <v>65</v>
      </c>
      <c r="B50">
        <v>42</v>
      </c>
      <c r="C50" s="2" t="s">
        <v>11</v>
      </c>
      <c r="D50">
        <v>108.71</v>
      </c>
      <c r="E50">
        <v>16.2</v>
      </c>
      <c r="F50">
        <v>2</v>
      </c>
      <c r="G50">
        <v>1</v>
      </c>
      <c r="H50">
        <v>3</v>
      </c>
      <c r="I50">
        <v>1.1000000000000001</v>
      </c>
      <c r="J50" s="2" t="s">
        <v>24</v>
      </c>
      <c r="K50" s="2">
        <f>Child_Health_data[[#This Row],[Weight_kg]]/((Child_Health_data[[#This Row],[Height_cm]]/100)^2)</f>
        <v>13.708060833090812</v>
      </c>
      <c r="L50" t="str">
        <f>(IF(Child_Health_data[[#This Row],[BMI]]&lt;18.5,"Underweight",
   IF(Child_Health_data[[#This Row],[BMI]]&lt;25,"Healthy Weight",
   IF(Child_Health_data[[#This Row],[BMI]]&lt;30,"Overweight","Obese"))))</f>
        <v>Underweight</v>
      </c>
      <c r="M50" s="2" t="str">
        <f t="shared" si="0"/>
        <v>37-48 Months</v>
      </c>
    </row>
    <row r="51" spans="1:13">
      <c r="A51" s="2" t="s">
        <v>66</v>
      </c>
      <c r="B51">
        <v>36</v>
      </c>
      <c r="C51" s="2" t="s">
        <v>11</v>
      </c>
      <c r="D51">
        <v>97.21</v>
      </c>
      <c r="E51">
        <v>13.41</v>
      </c>
      <c r="F51">
        <v>4</v>
      </c>
      <c r="G51">
        <v>3</v>
      </c>
      <c r="H51">
        <v>1</v>
      </c>
      <c r="I51">
        <v>0.9</v>
      </c>
      <c r="J51" s="2" t="s">
        <v>14</v>
      </c>
      <c r="K51" s="2">
        <f>Child_Health_data[[#This Row],[Weight_kg]]/((Child_Health_data[[#This Row],[Height_cm]]/100)^2)</f>
        <v>14.190800401461026</v>
      </c>
      <c r="L51" t="str">
        <f>(IF(Child_Health_data[[#This Row],[BMI]]&lt;18.5,"Underweight",
   IF(Child_Health_data[[#This Row],[BMI]]&lt;25,"Healthy Weight",
   IF(Child_Health_data[[#This Row],[BMI]]&lt;30,"Overweight","Obese"))))</f>
        <v>Underweight</v>
      </c>
      <c r="M51" s="2" t="str">
        <f t="shared" si="0"/>
        <v>24-36 Months</v>
      </c>
    </row>
    <row r="52" spans="1:13">
      <c r="A52" s="2" t="s">
        <v>67</v>
      </c>
      <c r="B52">
        <v>34</v>
      </c>
      <c r="C52" s="2" t="s">
        <v>11</v>
      </c>
      <c r="D52">
        <v>98.46</v>
      </c>
      <c r="E52">
        <v>15.38</v>
      </c>
      <c r="F52">
        <v>3</v>
      </c>
      <c r="G52">
        <v>2</v>
      </c>
      <c r="H52">
        <v>2</v>
      </c>
      <c r="I52">
        <v>1.2</v>
      </c>
      <c r="J52" s="2" t="s">
        <v>12</v>
      </c>
      <c r="K52" s="2">
        <f>Child_Health_data[[#This Row],[Weight_kg]]/((Child_Health_data[[#This Row],[Height_cm]]/100)^2)</f>
        <v>15.864875656303504</v>
      </c>
      <c r="L52" t="str">
        <f>(IF(Child_Health_data[[#This Row],[BMI]]&lt;18.5,"Underweight",
   IF(Child_Health_data[[#This Row],[BMI]]&lt;25,"Healthy Weight",
   IF(Child_Health_data[[#This Row],[BMI]]&lt;30,"Overweight","Obese"))))</f>
        <v>Underweight</v>
      </c>
      <c r="M52" s="2" t="str">
        <f t="shared" si="0"/>
        <v>24-36 Months</v>
      </c>
    </row>
    <row r="53" spans="1:13">
      <c r="A53" s="2" t="s">
        <v>68</v>
      </c>
      <c r="B53">
        <v>40</v>
      </c>
      <c r="C53" s="2" t="s">
        <v>11</v>
      </c>
      <c r="D53">
        <v>100.6</v>
      </c>
      <c r="E53">
        <v>17.309999999999999</v>
      </c>
      <c r="F53">
        <v>0</v>
      </c>
      <c r="G53">
        <v>3</v>
      </c>
      <c r="H53">
        <v>0</v>
      </c>
      <c r="I53">
        <v>0.6</v>
      </c>
      <c r="J53" s="2" t="s">
        <v>27</v>
      </c>
      <c r="K53" s="2">
        <f>Child_Health_data[[#This Row],[Weight_kg]]/((Child_Health_data[[#This Row],[Height_cm]]/100)^2)</f>
        <v>17.104134635526798</v>
      </c>
      <c r="L53" t="str">
        <f>(IF(Child_Health_data[[#This Row],[BMI]]&lt;18.5,"Underweight",
   IF(Child_Health_data[[#This Row],[BMI]]&lt;25,"Healthy Weight",
   IF(Child_Health_data[[#This Row],[BMI]]&lt;30,"Overweight","Obese"))))</f>
        <v>Underweight</v>
      </c>
      <c r="M53" s="2" t="str">
        <f t="shared" si="0"/>
        <v>37-48 Months</v>
      </c>
    </row>
    <row r="54" spans="1:13">
      <c r="A54" s="2" t="s">
        <v>69</v>
      </c>
      <c r="B54">
        <v>39</v>
      </c>
      <c r="C54" s="2" t="s">
        <v>11</v>
      </c>
      <c r="D54">
        <v>96.54</v>
      </c>
      <c r="E54">
        <v>18.239999999999998</v>
      </c>
      <c r="F54">
        <v>4</v>
      </c>
      <c r="G54">
        <v>3</v>
      </c>
      <c r="H54">
        <v>1</v>
      </c>
      <c r="I54">
        <v>1.9</v>
      </c>
      <c r="J54" s="2" t="s">
        <v>27</v>
      </c>
      <c r="K54" s="2">
        <f>Child_Health_data[[#This Row],[Weight_kg]]/((Child_Health_data[[#This Row],[Height_cm]]/100)^2)</f>
        <v>19.570875087215928</v>
      </c>
      <c r="L54" t="str">
        <f>(IF(Child_Health_data[[#This Row],[BMI]]&lt;18.5,"Underweight",
   IF(Child_Health_data[[#This Row],[BMI]]&lt;25,"Healthy Weight",
   IF(Child_Health_data[[#This Row],[BMI]]&lt;30,"Overweight","Obese"))))</f>
        <v>Healthy Weight</v>
      </c>
      <c r="M54" s="2" t="str">
        <f t="shared" si="0"/>
        <v>37-48 Months</v>
      </c>
    </row>
    <row r="55" spans="1:13">
      <c r="A55" s="2" t="s">
        <v>70</v>
      </c>
      <c r="B55">
        <v>57</v>
      </c>
      <c r="C55" s="2" t="s">
        <v>19</v>
      </c>
      <c r="D55">
        <v>110.58</v>
      </c>
      <c r="E55">
        <v>21.99</v>
      </c>
      <c r="F55">
        <v>3</v>
      </c>
      <c r="G55">
        <v>0</v>
      </c>
      <c r="H55">
        <v>0</v>
      </c>
      <c r="I55">
        <v>0.9</v>
      </c>
      <c r="J55" s="2" t="s">
        <v>12</v>
      </c>
      <c r="K55" s="2">
        <f>Child_Health_data[[#This Row],[Weight_kg]]/((Child_Health_data[[#This Row],[Height_cm]]/100)^2)</f>
        <v>17.983410512341237</v>
      </c>
      <c r="L55" t="str">
        <f>(IF(Child_Health_data[[#This Row],[BMI]]&lt;18.5,"Underweight",
   IF(Child_Health_data[[#This Row],[BMI]]&lt;25,"Healthy Weight",
   IF(Child_Health_data[[#This Row],[BMI]]&lt;30,"Overweight","Obese"))))</f>
        <v>Underweight</v>
      </c>
      <c r="M55" s="2" t="str">
        <f t="shared" si="0"/>
        <v>49-60 Months</v>
      </c>
    </row>
    <row r="56" spans="1:13">
      <c r="A56" s="2" t="s">
        <v>71</v>
      </c>
      <c r="B56">
        <v>50</v>
      </c>
      <c r="C56" s="2" t="s">
        <v>11</v>
      </c>
      <c r="D56">
        <v>114.47</v>
      </c>
      <c r="E56">
        <v>18.010000000000002</v>
      </c>
      <c r="F56">
        <v>1</v>
      </c>
      <c r="G56">
        <v>3</v>
      </c>
      <c r="H56">
        <v>0</v>
      </c>
      <c r="I56">
        <v>0.6</v>
      </c>
      <c r="J56" s="2" t="s">
        <v>24</v>
      </c>
      <c r="K56" s="2">
        <f>Child_Health_data[[#This Row],[Weight_kg]]/((Child_Health_data[[#This Row],[Height_cm]]/100)^2)</f>
        <v>13.744544356487417</v>
      </c>
      <c r="L56" t="str">
        <f>(IF(Child_Health_data[[#This Row],[BMI]]&lt;18.5,"Underweight",
   IF(Child_Health_data[[#This Row],[BMI]]&lt;25,"Healthy Weight",
   IF(Child_Health_data[[#This Row],[BMI]]&lt;30,"Overweight","Obese"))))</f>
        <v>Underweight</v>
      </c>
      <c r="M56" s="2" t="str">
        <f t="shared" si="0"/>
        <v>49-60 Months</v>
      </c>
    </row>
    <row r="57" spans="1:13">
      <c r="A57" s="2" t="s">
        <v>72</v>
      </c>
      <c r="B57">
        <v>31</v>
      </c>
      <c r="C57" s="2" t="s">
        <v>11</v>
      </c>
      <c r="D57">
        <v>96.28</v>
      </c>
      <c r="E57">
        <v>16.84</v>
      </c>
      <c r="F57">
        <v>4</v>
      </c>
      <c r="G57">
        <v>2</v>
      </c>
      <c r="H57">
        <v>3</v>
      </c>
      <c r="I57">
        <v>0.5</v>
      </c>
      <c r="J57" s="2" t="s">
        <v>20</v>
      </c>
      <c r="K57" s="2">
        <f>Child_Health_data[[#This Row],[Weight_kg]]/((Child_Health_data[[#This Row],[Height_cm]]/100)^2)</f>
        <v>18.166443980296357</v>
      </c>
      <c r="L57" t="str">
        <f>(IF(Child_Health_data[[#This Row],[BMI]]&lt;18.5,"Underweight",
   IF(Child_Health_data[[#This Row],[BMI]]&lt;25,"Healthy Weight",
   IF(Child_Health_data[[#This Row],[BMI]]&lt;30,"Overweight","Obese"))))</f>
        <v>Underweight</v>
      </c>
      <c r="M57" s="2" t="str">
        <f t="shared" si="0"/>
        <v>24-36 Months</v>
      </c>
    </row>
    <row r="58" spans="1:13">
      <c r="A58" s="2" t="s">
        <v>73</v>
      </c>
      <c r="B58">
        <v>44</v>
      </c>
      <c r="C58" s="2" t="s">
        <v>11</v>
      </c>
      <c r="D58">
        <v>104.76</v>
      </c>
      <c r="E58">
        <v>18.399999999999999</v>
      </c>
      <c r="F58">
        <v>4</v>
      </c>
      <c r="G58">
        <v>2</v>
      </c>
      <c r="H58">
        <v>1</v>
      </c>
      <c r="I58">
        <v>0.7</v>
      </c>
      <c r="J58" s="2" t="s">
        <v>12</v>
      </c>
      <c r="K58" s="2">
        <f>Child_Health_data[[#This Row],[Weight_kg]]/((Child_Health_data[[#This Row],[Height_cm]]/100)^2)</f>
        <v>16.765898919707524</v>
      </c>
      <c r="L58" t="str">
        <f>(IF(Child_Health_data[[#This Row],[BMI]]&lt;18.5,"Underweight",
   IF(Child_Health_data[[#This Row],[BMI]]&lt;25,"Healthy Weight",
   IF(Child_Health_data[[#This Row],[BMI]]&lt;30,"Overweight","Obese"))))</f>
        <v>Underweight</v>
      </c>
      <c r="M58" s="2" t="str">
        <f t="shared" si="0"/>
        <v>37-48 Months</v>
      </c>
    </row>
    <row r="59" spans="1:13">
      <c r="A59" s="2" t="s">
        <v>74</v>
      </c>
      <c r="B59">
        <v>42</v>
      </c>
      <c r="C59" s="2" t="s">
        <v>19</v>
      </c>
      <c r="D59">
        <v>105.35</v>
      </c>
      <c r="E59">
        <v>19.88</v>
      </c>
      <c r="F59">
        <v>1</v>
      </c>
      <c r="G59">
        <v>2</v>
      </c>
      <c r="H59">
        <v>2</v>
      </c>
      <c r="I59">
        <v>2.8</v>
      </c>
      <c r="J59" s="2" t="s">
        <v>20</v>
      </c>
      <c r="K59" s="2">
        <f>Child_Health_data[[#This Row],[Weight_kg]]/((Child_Health_data[[#This Row],[Height_cm]]/100)^2)</f>
        <v>17.912132789452027</v>
      </c>
      <c r="L59" t="str">
        <f>(IF(Child_Health_data[[#This Row],[BMI]]&lt;18.5,"Underweight",
   IF(Child_Health_data[[#This Row],[BMI]]&lt;25,"Healthy Weight",
   IF(Child_Health_data[[#This Row],[BMI]]&lt;30,"Overweight","Obese"))))</f>
        <v>Underweight</v>
      </c>
      <c r="M59" s="2" t="str">
        <f t="shared" si="0"/>
        <v>37-48 Months</v>
      </c>
    </row>
    <row r="60" spans="1:13">
      <c r="A60" s="2" t="s">
        <v>75</v>
      </c>
      <c r="B60">
        <v>59</v>
      </c>
      <c r="C60" s="2" t="s">
        <v>19</v>
      </c>
      <c r="D60">
        <v>110.75</v>
      </c>
      <c r="E60">
        <v>24.56</v>
      </c>
      <c r="F60">
        <v>4</v>
      </c>
      <c r="G60">
        <v>4</v>
      </c>
      <c r="H60">
        <v>1</v>
      </c>
      <c r="I60">
        <v>1.7</v>
      </c>
      <c r="J60" s="2" t="s">
        <v>12</v>
      </c>
      <c r="K60" s="2">
        <f>Child_Health_data[[#This Row],[Weight_kg]]/((Child_Health_data[[#This Row],[Height_cm]]/100)^2)</f>
        <v>20.023541521230683</v>
      </c>
      <c r="L60" t="str">
        <f>(IF(Child_Health_data[[#This Row],[BMI]]&lt;18.5,"Underweight",
   IF(Child_Health_data[[#This Row],[BMI]]&lt;25,"Healthy Weight",
   IF(Child_Health_data[[#This Row],[BMI]]&lt;30,"Overweight","Obese"))))</f>
        <v>Healthy Weight</v>
      </c>
      <c r="M60" s="2" t="str">
        <f t="shared" si="0"/>
        <v>49-60 Months</v>
      </c>
    </row>
    <row r="61" spans="1:13">
      <c r="A61" s="2" t="s">
        <v>76</v>
      </c>
      <c r="B61">
        <v>56</v>
      </c>
      <c r="C61" s="2" t="s">
        <v>19</v>
      </c>
      <c r="D61">
        <v>108</v>
      </c>
      <c r="E61">
        <v>22.24</v>
      </c>
      <c r="F61">
        <v>2</v>
      </c>
      <c r="G61">
        <v>4</v>
      </c>
      <c r="H61">
        <v>2</v>
      </c>
      <c r="I61">
        <v>1.1000000000000001</v>
      </c>
      <c r="J61" s="2" t="s">
        <v>14</v>
      </c>
      <c r="K61" s="2">
        <f>Child_Health_data[[#This Row],[Weight_kg]]/((Child_Health_data[[#This Row],[Height_cm]]/100)^2)</f>
        <v>19.067215363511657</v>
      </c>
      <c r="L61" t="str">
        <f>(IF(Child_Health_data[[#This Row],[BMI]]&lt;18.5,"Underweight",
   IF(Child_Health_data[[#This Row],[BMI]]&lt;25,"Healthy Weight",
   IF(Child_Health_data[[#This Row],[BMI]]&lt;30,"Overweight","Obese"))))</f>
        <v>Healthy Weight</v>
      </c>
      <c r="M61" s="2" t="str">
        <f t="shared" si="0"/>
        <v>49-60 Months</v>
      </c>
    </row>
    <row r="62" spans="1:13">
      <c r="A62" s="2" t="s">
        <v>77</v>
      </c>
      <c r="B62">
        <v>32</v>
      </c>
      <c r="C62" s="2" t="s">
        <v>11</v>
      </c>
      <c r="D62">
        <v>98.63</v>
      </c>
      <c r="E62">
        <v>17.96</v>
      </c>
      <c r="F62">
        <v>0</v>
      </c>
      <c r="G62">
        <v>0</v>
      </c>
      <c r="H62">
        <v>2</v>
      </c>
      <c r="I62">
        <v>2.6</v>
      </c>
      <c r="J62" s="2" t="s">
        <v>24</v>
      </c>
      <c r="K62" s="2">
        <f>Child_Health_data[[#This Row],[Weight_kg]]/((Child_Health_data[[#This Row],[Height_cm]]/100)^2)</f>
        <v>18.462404679483562</v>
      </c>
      <c r="L62" t="str">
        <f>(IF(Child_Health_data[[#This Row],[BMI]]&lt;18.5,"Underweight",
   IF(Child_Health_data[[#This Row],[BMI]]&lt;25,"Healthy Weight",
   IF(Child_Health_data[[#This Row],[BMI]]&lt;30,"Overweight","Obese"))))</f>
        <v>Underweight</v>
      </c>
      <c r="M62" s="2" t="str">
        <f t="shared" si="0"/>
        <v>24-36 Months</v>
      </c>
    </row>
    <row r="63" spans="1:13">
      <c r="A63" s="2" t="s">
        <v>78</v>
      </c>
      <c r="B63">
        <v>47</v>
      </c>
      <c r="C63" s="2" t="s">
        <v>11</v>
      </c>
      <c r="D63">
        <v>103.57</v>
      </c>
      <c r="E63">
        <v>22.13</v>
      </c>
      <c r="F63">
        <v>3</v>
      </c>
      <c r="G63">
        <v>2</v>
      </c>
      <c r="H63">
        <v>0</v>
      </c>
      <c r="I63">
        <v>0.6</v>
      </c>
      <c r="J63" s="2" t="s">
        <v>12</v>
      </c>
      <c r="K63" s="2">
        <f>Child_Health_data[[#This Row],[Weight_kg]]/((Child_Health_data[[#This Row],[Height_cm]]/100)^2)</f>
        <v>20.630676133633052</v>
      </c>
      <c r="L63" t="str">
        <f>(IF(Child_Health_data[[#This Row],[BMI]]&lt;18.5,"Underweight",
   IF(Child_Health_data[[#This Row],[BMI]]&lt;25,"Healthy Weight",
   IF(Child_Health_data[[#This Row],[BMI]]&lt;30,"Overweight","Obese"))))</f>
        <v>Healthy Weight</v>
      </c>
      <c r="M63" s="2" t="str">
        <f t="shared" si="0"/>
        <v>37-48 Months</v>
      </c>
    </row>
    <row r="64" spans="1:13">
      <c r="A64" s="2" t="s">
        <v>79</v>
      </c>
      <c r="B64">
        <v>28</v>
      </c>
      <c r="C64" s="2" t="s">
        <v>19</v>
      </c>
      <c r="D64">
        <v>92.72</v>
      </c>
      <c r="E64">
        <v>15.7</v>
      </c>
      <c r="F64">
        <v>4</v>
      </c>
      <c r="G64">
        <v>0</v>
      </c>
      <c r="H64">
        <v>1</v>
      </c>
      <c r="I64">
        <v>0.5</v>
      </c>
      <c r="J64" s="2" t="s">
        <v>24</v>
      </c>
      <c r="K64" s="2">
        <f>Child_Health_data[[#This Row],[Weight_kg]]/((Child_Health_data[[#This Row],[Height_cm]]/100)^2)</f>
        <v>18.26218788176115</v>
      </c>
      <c r="L64" t="str">
        <f>(IF(Child_Health_data[[#This Row],[BMI]]&lt;18.5,"Underweight",
   IF(Child_Health_data[[#This Row],[BMI]]&lt;25,"Healthy Weight",
   IF(Child_Health_data[[#This Row],[BMI]]&lt;30,"Overweight","Obese"))))</f>
        <v>Underweight</v>
      </c>
      <c r="M64" s="2" t="str">
        <f t="shared" si="0"/>
        <v>24-36 Months</v>
      </c>
    </row>
    <row r="65" spans="1:13">
      <c r="A65" s="2" t="s">
        <v>80</v>
      </c>
      <c r="B65">
        <v>56</v>
      </c>
      <c r="C65" s="2" t="s">
        <v>19</v>
      </c>
      <c r="D65">
        <v>113.3</v>
      </c>
      <c r="E65">
        <v>20.45</v>
      </c>
      <c r="F65">
        <v>2</v>
      </c>
      <c r="G65">
        <v>2</v>
      </c>
      <c r="H65">
        <v>2</v>
      </c>
      <c r="I65">
        <v>0.5</v>
      </c>
      <c r="J65" s="2" t="s">
        <v>27</v>
      </c>
      <c r="K65" s="2">
        <f>Child_Health_data[[#This Row],[Weight_kg]]/((Child_Health_data[[#This Row],[Height_cm]]/100)^2)</f>
        <v>15.930649869244029</v>
      </c>
      <c r="L65" t="str">
        <f>(IF(Child_Health_data[[#This Row],[BMI]]&lt;18.5,"Underweight",
   IF(Child_Health_data[[#This Row],[BMI]]&lt;25,"Healthy Weight",
   IF(Child_Health_data[[#This Row],[BMI]]&lt;30,"Overweight","Obese"))))</f>
        <v>Underweight</v>
      </c>
      <c r="M65" s="2" t="str">
        <f t="shared" si="0"/>
        <v>49-60 Months</v>
      </c>
    </row>
    <row r="66" spans="1:13">
      <c r="A66" s="2" t="s">
        <v>81</v>
      </c>
      <c r="B66">
        <v>38</v>
      </c>
      <c r="C66" s="2" t="s">
        <v>19</v>
      </c>
      <c r="D66">
        <v>104.84</v>
      </c>
      <c r="E66">
        <v>19.829999999999998</v>
      </c>
      <c r="F66">
        <v>4</v>
      </c>
      <c r="G66">
        <v>0</v>
      </c>
      <c r="H66">
        <v>0</v>
      </c>
      <c r="I66">
        <v>0.8</v>
      </c>
      <c r="J66" s="2" t="s">
        <v>24</v>
      </c>
      <c r="K66" s="2">
        <f>Child_Health_data[[#This Row],[Weight_kg]]/((Child_Health_data[[#This Row],[Height_cm]]/100)^2)</f>
        <v>18.041335784504604</v>
      </c>
      <c r="L66" t="str">
        <f>(IF(Child_Health_data[[#This Row],[BMI]]&lt;18.5,"Underweight",
   IF(Child_Health_data[[#This Row],[BMI]]&lt;25,"Healthy Weight",
   IF(Child_Health_data[[#This Row],[BMI]]&lt;30,"Overweight","Obese"))))</f>
        <v>Underweight</v>
      </c>
      <c r="M66" s="2" t="str">
        <f t="shared" si="0"/>
        <v>37-48 Months</v>
      </c>
    </row>
    <row r="67" spans="1:13">
      <c r="A67" s="2" t="s">
        <v>82</v>
      </c>
      <c r="B67">
        <v>50</v>
      </c>
      <c r="C67" s="2" t="s">
        <v>11</v>
      </c>
      <c r="D67">
        <v>104.56</v>
      </c>
      <c r="E67">
        <v>21.62</v>
      </c>
      <c r="F67">
        <v>4</v>
      </c>
      <c r="G67">
        <v>1</v>
      </c>
      <c r="H67">
        <v>1</v>
      </c>
      <c r="I67">
        <v>2</v>
      </c>
      <c r="J67" s="2" t="s">
        <v>12</v>
      </c>
      <c r="K67" s="2">
        <f>Child_Health_data[[#This Row],[Weight_kg]]/((Child_Health_data[[#This Row],[Height_cm]]/100)^2)</f>
        <v>19.775366471749727</v>
      </c>
      <c r="L67" t="str">
        <f>(IF(Child_Health_data[[#This Row],[BMI]]&lt;18.5,"Underweight",
   IF(Child_Health_data[[#This Row],[BMI]]&lt;25,"Healthy Weight",
   IF(Child_Health_data[[#This Row],[BMI]]&lt;30,"Overweight","Obese"))))</f>
        <v>Healthy Weight</v>
      </c>
      <c r="M67" s="2" t="str">
        <f t="shared" ref="M67:M103" si="1">(IF(AND(B67&gt;=24,B67&lt;=36),"24-36 Months",
  IF(AND(B67&gt;=37,B67&lt;=48),"37-48 Months",
  IF(AND(B67&gt;=49,B67&lt;=60),"49-60 Months",
  "61+ Months"))))</f>
        <v>49-60 Months</v>
      </c>
    </row>
    <row r="68" spans="1:13">
      <c r="A68" s="2" t="s">
        <v>83</v>
      </c>
      <c r="B68">
        <v>27</v>
      </c>
      <c r="C68" s="2" t="s">
        <v>19</v>
      </c>
      <c r="D68">
        <v>97.32</v>
      </c>
      <c r="E68">
        <v>16.28</v>
      </c>
      <c r="F68">
        <v>2</v>
      </c>
      <c r="G68">
        <v>4</v>
      </c>
      <c r="H68">
        <v>0</v>
      </c>
      <c r="I68">
        <v>0.8</v>
      </c>
      <c r="J68" s="2" t="s">
        <v>12</v>
      </c>
      <c r="K68" s="2">
        <f>Child_Health_data[[#This Row],[Weight_kg]]/((Child_Health_data[[#This Row],[Height_cm]]/100)^2)</f>
        <v>17.188983711262917</v>
      </c>
      <c r="L68" t="str">
        <f>(IF(Child_Health_data[[#This Row],[BMI]]&lt;18.5,"Underweight",
   IF(Child_Health_data[[#This Row],[BMI]]&lt;25,"Healthy Weight",
   IF(Child_Health_data[[#This Row],[BMI]]&lt;30,"Overweight","Obese"))))</f>
        <v>Underweight</v>
      </c>
      <c r="M68" s="2" t="str">
        <f t="shared" si="1"/>
        <v>24-36 Months</v>
      </c>
    </row>
    <row r="69" spans="1:13">
      <c r="A69" s="2" t="s">
        <v>84</v>
      </c>
      <c r="B69">
        <v>32</v>
      </c>
      <c r="C69" s="2" t="s">
        <v>11</v>
      </c>
      <c r="D69">
        <v>103.58</v>
      </c>
      <c r="E69">
        <v>15.12</v>
      </c>
      <c r="F69">
        <v>4</v>
      </c>
      <c r="G69">
        <v>0</v>
      </c>
      <c r="H69">
        <v>2</v>
      </c>
      <c r="I69">
        <v>1.8</v>
      </c>
      <c r="J69" s="2" t="s">
        <v>20</v>
      </c>
      <c r="K69" s="2">
        <f>Child_Health_data[[#This Row],[Weight_kg]]/((Child_Health_data[[#This Row],[Height_cm]]/100)^2)</f>
        <v>14.092887263873765</v>
      </c>
      <c r="L69" t="str">
        <f>(IF(Child_Health_data[[#This Row],[BMI]]&lt;18.5,"Underweight",
   IF(Child_Health_data[[#This Row],[BMI]]&lt;25,"Healthy Weight",
   IF(Child_Health_data[[#This Row],[BMI]]&lt;30,"Overweight","Obese"))))</f>
        <v>Underweight</v>
      </c>
      <c r="M69" s="2" t="str">
        <f t="shared" si="1"/>
        <v>24-36 Months</v>
      </c>
    </row>
    <row r="70" spans="1:13">
      <c r="A70" s="2" t="s">
        <v>85</v>
      </c>
      <c r="B70">
        <v>53</v>
      </c>
      <c r="C70" s="2" t="s">
        <v>19</v>
      </c>
      <c r="D70">
        <v>105.92</v>
      </c>
      <c r="E70">
        <v>22.98</v>
      </c>
      <c r="F70">
        <v>2</v>
      </c>
      <c r="G70">
        <v>0</v>
      </c>
      <c r="H70">
        <v>0</v>
      </c>
      <c r="I70">
        <v>0.8</v>
      </c>
      <c r="J70" s="2" t="s">
        <v>27</v>
      </c>
      <c r="K70" s="2">
        <f>Child_Health_data[[#This Row],[Weight_kg]]/((Child_Health_data[[#This Row],[Height_cm]]/100)^2)</f>
        <v>20.483024296966988</v>
      </c>
      <c r="L70" t="str">
        <f>(IF(Child_Health_data[[#This Row],[BMI]]&lt;18.5,"Underweight",
   IF(Child_Health_data[[#This Row],[BMI]]&lt;25,"Healthy Weight",
   IF(Child_Health_data[[#This Row],[BMI]]&lt;30,"Overweight","Obese"))))</f>
        <v>Healthy Weight</v>
      </c>
      <c r="M70" s="2" t="str">
        <f t="shared" si="1"/>
        <v>49-60 Months</v>
      </c>
    </row>
    <row r="71" spans="1:13">
      <c r="A71" s="2" t="s">
        <v>86</v>
      </c>
      <c r="B71">
        <v>33</v>
      </c>
      <c r="C71" s="2" t="s">
        <v>19</v>
      </c>
      <c r="D71">
        <v>104.76</v>
      </c>
      <c r="E71">
        <v>13.89</v>
      </c>
      <c r="F71">
        <v>3</v>
      </c>
      <c r="G71">
        <v>4</v>
      </c>
      <c r="H71">
        <v>0</v>
      </c>
      <c r="I71">
        <v>0.5</v>
      </c>
      <c r="J71" s="2" t="s">
        <v>20</v>
      </c>
      <c r="K71" s="2">
        <f>Child_Health_data[[#This Row],[Weight_kg]]/((Child_Health_data[[#This Row],[Height_cm]]/100)^2)</f>
        <v>12.656431304061822</v>
      </c>
      <c r="L71" t="str">
        <f>(IF(Child_Health_data[[#This Row],[BMI]]&lt;18.5,"Underweight",
   IF(Child_Health_data[[#This Row],[BMI]]&lt;25,"Healthy Weight",
   IF(Child_Health_data[[#This Row],[BMI]]&lt;30,"Overweight","Obese"))))</f>
        <v>Underweight</v>
      </c>
      <c r="M71" s="2" t="str">
        <f t="shared" si="1"/>
        <v>24-36 Months</v>
      </c>
    </row>
    <row r="72" spans="1:13">
      <c r="A72" s="2" t="s">
        <v>87</v>
      </c>
      <c r="B72">
        <v>49</v>
      </c>
      <c r="C72" s="2" t="s">
        <v>19</v>
      </c>
      <c r="D72">
        <v>108.22</v>
      </c>
      <c r="E72">
        <v>19.55</v>
      </c>
      <c r="F72">
        <v>1</v>
      </c>
      <c r="G72">
        <v>1</v>
      </c>
      <c r="H72">
        <v>2</v>
      </c>
      <c r="I72">
        <v>1.6</v>
      </c>
      <c r="J72" s="2" t="s">
        <v>20</v>
      </c>
      <c r="K72" s="2">
        <f>Child_Health_data[[#This Row],[Weight_kg]]/((Child_Health_data[[#This Row],[Height_cm]]/100)^2)</f>
        <v>16.692896572247317</v>
      </c>
      <c r="L72" t="str">
        <f>(IF(Child_Health_data[[#This Row],[BMI]]&lt;18.5,"Underweight",
   IF(Child_Health_data[[#This Row],[BMI]]&lt;25,"Healthy Weight",
   IF(Child_Health_data[[#This Row],[BMI]]&lt;30,"Overweight","Obese"))))</f>
        <v>Underweight</v>
      </c>
      <c r="M72" s="2" t="str">
        <f t="shared" si="1"/>
        <v>49-60 Months</v>
      </c>
    </row>
    <row r="73" spans="1:13">
      <c r="A73" s="2" t="s">
        <v>88</v>
      </c>
      <c r="B73">
        <v>32</v>
      </c>
      <c r="C73" s="2" t="s">
        <v>11</v>
      </c>
      <c r="D73">
        <v>97.69</v>
      </c>
      <c r="E73">
        <v>18.04</v>
      </c>
      <c r="F73">
        <v>3</v>
      </c>
      <c r="G73">
        <v>2</v>
      </c>
      <c r="H73">
        <v>2</v>
      </c>
      <c r="I73">
        <v>2.2000000000000002</v>
      </c>
      <c r="J73" s="2" t="s">
        <v>12</v>
      </c>
      <c r="K73" s="2">
        <f>Child_Health_data[[#This Row],[Weight_kg]]/((Child_Health_data[[#This Row],[Height_cm]]/100)^2)</f>
        <v>18.903242860743426</v>
      </c>
      <c r="L73" t="str">
        <f>(IF(Child_Health_data[[#This Row],[BMI]]&lt;18.5,"Underweight",
   IF(Child_Health_data[[#This Row],[BMI]]&lt;25,"Healthy Weight",
   IF(Child_Health_data[[#This Row],[BMI]]&lt;30,"Overweight","Obese"))))</f>
        <v>Healthy Weight</v>
      </c>
      <c r="M73" s="2" t="str">
        <f t="shared" si="1"/>
        <v>24-36 Months</v>
      </c>
    </row>
    <row r="74" spans="1:13">
      <c r="A74" s="2" t="s">
        <v>89</v>
      </c>
      <c r="B74">
        <v>52</v>
      </c>
      <c r="C74" s="2" t="s">
        <v>11</v>
      </c>
      <c r="D74">
        <v>104.99</v>
      </c>
      <c r="E74">
        <v>22.77</v>
      </c>
      <c r="F74">
        <v>3</v>
      </c>
      <c r="G74">
        <v>2</v>
      </c>
      <c r="H74">
        <v>1</v>
      </c>
      <c r="I74">
        <v>1.1000000000000001</v>
      </c>
      <c r="J74" s="2" t="s">
        <v>14</v>
      </c>
      <c r="K74" s="2">
        <f>Child_Health_data[[#This Row],[Weight_kg]]/((Child_Health_data[[#This Row],[Height_cm]]/100)^2)</f>
        <v>20.656995702972939</v>
      </c>
      <c r="L74" t="str">
        <f>(IF(Child_Health_data[[#This Row],[BMI]]&lt;18.5,"Underweight",
   IF(Child_Health_data[[#This Row],[BMI]]&lt;25,"Healthy Weight",
   IF(Child_Health_data[[#This Row],[BMI]]&lt;30,"Overweight","Obese"))))</f>
        <v>Healthy Weight</v>
      </c>
      <c r="M74" s="2" t="str">
        <f t="shared" si="1"/>
        <v>49-60 Months</v>
      </c>
    </row>
    <row r="75" spans="1:13">
      <c r="A75" s="2" t="s">
        <v>90</v>
      </c>
      <c r="B75">
        <v>25</v>
      </c>
      <c r="C75" s="2" t="s">
        <v>19</v>
      </c>
      <c r="D75">
        <v>88.93</v>
      </c>
      <c r="E75">
        <v>15.5</v>
      </c>
      <c r="F75">
        <v>3</v>
      </c>
      <c r="G75">
        <v>0</v>
      </c>
      <c r="H75">
        <v>3</v>
      </c>
      <c r="I75">
        <v>3.8</v>
      </c>
      <c r="J75" s="2" t="s">
        <v>14</v>
      </c>
      <c r="K75" s="2">
        <f>Child_Health_data[[#This Row],[Weight_kg]]/((Child_Health_data[[#This Row],[Height_cm]]/100)^2)</f>
        <v>19.59905418252098</v>
      </c>
      <c r="L75" t="str">
        <f>(IF(Child_Health_data[[#This Row],[BMI]]&lt;18.5,"Underweight",
   IF(Child_Health_data[[#This Row],[BMI]]&lt;25,"Healthy Weight",
   IF(Child_Health_data[[#This Row],[BMI]]&lt;30,"Overweight","Obese"))))</f>
        <v>Healthy Weight</v>
      </c>
      <c r="M75" s="2" t="str">
        <f t="shared" si="1"/>
        <v>24-36 Months</v>
      </c>
    </row>
    <row r="76" spans="1:13">
      <c r="A76" s="2" t="s">
        <v>91</v>
      </c>
      <c r="B76">
        <v>41</v>
      </c>
      <c r="C76" s="2" t="s">
        <v>11</v>
      </c>
      <c r="D76">
        <v>105.5</v>
      </c>
      <c r="E76">
        <v>20.18</v>
      </c>
      <c r="F76">
        <v>1</v>
      </c>
      <c r="G76">
        <v>4</v>
      </c>
      <c r="H76">
        <v>3</v>
      </c>
      <c r="I76">
        <v>1.9</v>
      </c>
      <c r="J76" s="2" t="s">
        <v>24</v>
      </c>
      <c r="K76" s="2">
        <f>Child_Health_data[[#This Row],[Weight_kg]]/((Child_Health_data[[#This Row],[Height_cm]]/100)^2)</f>
        <v>18.130769749107163</v>
      </c>
      <c r="L76" t="str">
        <f>(IF(Child_Health_data[[#This Row],[BMI]]&lt;18.5,"Underweight",
   IF(Child_Health_data[[#This Row],[BMI]]&lt;25,"Healthy Weight",
   IF(Child_Health_data[[#This Row],[BMI]]&lt;30,"Overweight","Obese"))))</f>
        <v>Underweight</v>
      </c>
      <c r="M76" s="2" t="str">
        <f t="shared" si="1"/>
        <v>37-48 Months</v>
      </c>
    </row>
    <row r="77" spans="1:13">
      <c r="A77" s="2" t="s">
        <v>92</v>
      </c>
      <c r="B77">
        <v>38</v>
      </c>
      <c r="C77" s="2" t="s">
        <v>19</v>
      </c>
      <c r="D77">
        <v>101.47</v>
      </c>
      <c r="E77">
        <v>15.96</v>
      </c>
      <c r="F77">
        <v>1</v>
      </c>
      <c r="G77">
        <v>1</v>
      </c>
      <c r="H77">
        <v>0</v>
      </c>
      <c r="I77">
        <v>0.8</v>
      </c>
      <c r="J77" s="2" t="s">
        <v>12</v>
      </c>
      <c r="K77" s="2">
        <f>Child_Health_data[[#This Row],[Weight_kg]]/((Child_Health_data[[#This Row],[Height_cm]]/100)^2)</f>
        <v>15.500923261601326</v>
      </c>
      <c r="L77" t="str">
        <f>(IF(Child_Health_data[[#This Row],[BMI]]&lt;18.5,"Underweight",
   IF(Child_Health_data[[#This Row],[BMI]]&lt;25,"Healthy Weight",
   IF(Child_Health_data[[#This Row],[BMI]]&lt;30,"Overweight","Obese"))))</f>
        <v>Underweight</v>
      </c>
      <c r="M77" s="2" t="str">
        <f t="shared" si="1"/>
        <v>37-48 Months</v>
      </c>
    </row>
    <row r="78" spans="1:13">
      <c r="A78" s="2" t="s">
        <v>93</v>
      </c>
      <c r="B78">
        <v>46</v>
      </c>
      <c r="C78" s="2" t="s">
        <v>19</v>
      </c>
      <c r="D78">
        <v>103.84</v>
      </c>
      <c r="E78">
        <v>17.13</v>
      </c>
      <c r="F78">
        <v>0</v>
      </c>
      <c r="G78">
        <v>4</v>
      </c>
      <c r="H78">
        <v>1</v>
      </c>
      <c r="I78">
        <v>0.7</v>
      </c>
      <c r="J78" s="2" t="s">
        <v>20</v>
      </c>
      <c r="K78" s="2">
        <f>Child_Health_data[[#This Row],[Weight_kg]]/((Child_Health_data[[#This Row],[Height_cm]]/100)^2)</f>
        <v>15.886491841187462</v>
      </c>
      <c r="L78" t="str">
        <f>(IF(Child_Health_data[[#This Row],[BMI]]&lt;18.5,"Underweight",
   IF(Child_Health_data[[#This Row],[BMI]]&lt;25,"Healthy Weight",
   IF(Child_Health_data[[#This Row],[BMI]]&lt;30,"Overweight","Obese"))))</f>
        <v>Underweight</v>
      </c>
      <c r="M78" s="2" t="str">
        <f t="shared" si="1"/>
        <v>37-48 Months</v>
      </c>
    </row>
    <row r="79" spans="1:13">
      <c r="A79" s="2" t="s">
        <v>94</v>
      </c>
      <c r="B79">
        <v>45</v>
      </c>
      <c r="C79" s="2" t="s">
        <v>19</v>
      </c>
      <c r="D79">
        <v>103.74</v>
      </c>
      <c r="E79">
        <v>18.21</v>
      </c>
      <c r="F79">
        <v>1</v>
      </c>
      <c r="G79">
        <v>3</v>
      </c>
      <c r="H79">
        <v>0</v>
      </c>
      <c r="I79">
        <v>0.5</v>
      </c>
      <c r="J79" s="2" t="s">
        <v>20</v>
      </c>
      <c r="K79" s="2">
        <f>Child_Health_data[[#This Row],[Weight_kg]]/((Child_Health_data[[#This Row],[Height_cm]]/100)^2)</f>
        <v>16.920666215969256</v>
      </c>
      <c r="L79" t="str">
        <f>(IF(Child_Health_data[[#This Row],[BMI]]&lt;18.5,"Underweight",
   IF(Child_Health_data[[#This Row],[BMI]]&lt;25,"Healthy Weight",
   IF(Child_Health_data[[#This Row],[BMI]]&lt;30,"Overweight","Obese"))))</f>
        <v>Underweight</v>
      </c>
      <c r="M79" s="2" t="str">
        <f t="shared" si="1"/>
        <v>37-48 Months</v>
      </c>
    </row>
    <row r="80" spans="1:13">
      <c r="A80" s="2" t="s">
        <v>95</v>
      </c>
      <c r="B80">
        <v>48</v>
      </c>
      <c r="C80" s="2" t="s">
        <v>19</v>
      </c>
      <c r="D80">
        <v>101.32</v>
      </c>
      <c r="E80">
        <v>21.93</v>
      </c>
      <c r="F80">
        <v>4</v>
      </c>
      <c r="G80">
        <v>2</v>
      </c>
      <c r="H80">
        <v>2</v>
      </c>
      <c r="I80">
        <v>2.8</v>
      </c>
      <c r="J80" s="2" t="s">
        <v>14</v>
      </c>
      <c r="K80" s="2">
        <f>Child_Health_data[[#This Row],[Weight_kg]]/((Child_Health_data[[#This Row],[Height_cm]]/100)^2)</f>
        <v>21.36231277340449</v>
      </c>
      <c r="L80" t="str">
        <f>(IF(Child_Health_data[[#This Row],[BMI]]&lt;18.5,"Underweight",
   IF(Child_Health_data[[#This Row],[BMI]]&lt;25,"Healthy Weight",
   IF(Child_Health_data[[#This Row],[BMI]]&lt;30,"Overweight","Obese"))))</f>
        <v>Healthy Weight</v>
      </c>
      <c r="M80" s="2" t="str">
        <f t="shared" si="1"/>
        <v>37-48 Months</v>
      </c>
    </row>
    <row r="81" spans="1:13">
      <c r="A81" s="2" t="s">
        <v>96</v>
      </c>
      <c r="B81">
        <v>54</v>
      </c>
      <c r="C81" s="2" t="s">
        <v>11</v>
      </c>
      <c r="D81">
        <v>109.83</v>
      </c>
      <c r="E81">
        <v>21.35</v>
      </c>
      <c r="F81">
        <v>3</v>
      </c>
      <c r="G81">
        <v>2</v>
      </c>
      <c r="H81">
        <v>1</v>
      </c>
      <c r="I81">
        <v>0.7</v>
      </c>
      <c r="J81" s="2" t="s">
        <v>24</v>
      </c>
      <c r="K81" s="2">
        <f>Child_Health_data[[#This Row],[Weight_kg]]/((Child_Health_data[[#This Row],[Height_cm]]/100)^2)</f>
        <v>17.699292730459444</v>
      </c>
      <c r="L81" t="str">
        <f>(IF(Child_Health_data[[#This Row],[BMI]]&lt;18.5,"Underweight",
   IF(Child_Health_data[[#This Row],[BMI]]&lt;25,"Healthy Weight",
   IF(Child_Health_data[[#This Row],[BMI]]&lt;30,"Overweight","Obese"))))</f>
        <v>Underweight</v>
      </c>
      <c r="M81" s="2" t="str">
        <f t="shared" si="1"/>
        <v>49-60 Months</v>
      </c>
    </row>
    <row r="82" spans="1:13">
      <c r="A82" s="2" t="s">
        <v>97</v>
      </c>
      <c r="B82">
        <v>49</v>
      </c>
      <c r="C82" s="2" t="s">
        <v>19</v>
      </c>
      <c r="D82">
        <v>112.98</v>
      </c>
      <c r="E82">
        <v>18.22</v>
      </c>
      <c r="F82">
        <v>3</v>
      </c>
      <c r="G82">
        <v>1</v>
      </c>
      <c r="H82">
        <v>1</v>
      </c>
      <c r="I82">
        <v>1.7</v>
      </c>
      <c r="J82" s="2" t="s">
        <v>12</v>
      </c>
      <c r="K82" s="2">
        <f>Child_Health_data[[#This Row],[Weight_kg]]/((Child_Health_data[[#This Row],[Height_cm]]/100)^2)</f>
        <v>14.273984861929826</v>
      </c>
      <c r="L82" t="str">
        <f>(IF(Child_Health_data[[#This Row],[BMI]]&lt;18.5,"Underweight",
   IF(Child_Health_data[[#This Row],[BMI]]&lt;25,"Healthy Weight",
   IF(Child_Health_data[[#This Row],[BMI]]&lt;30,"Overweight","Obese"))))</f>
        <v>Underweight</v>
      </c>
      <c r="M82" s="2" t="str">
        <f t="shared" si="1"/>
        <v>49-60 Months</v>
      </c>
    </row>
    <row r="83" spans="1:13">
      <c r="A83" s="2" t="s">
        <v>98</v>
      </c>
      <c r="B83">
        <v>45</v>
      </c>
      <c r="C83" s="2" t="s">
        <v>11</v>
      </c>
      <c r="D83">
        <v>104.87</v>
      </c>
      <c r="E83">
        <v>19.66</v>
      </c>
      <c r="F83">
        <v>1</v>
      </c>
      <c r="G83">
        <v>4</v>
      </c>
      <c r="H83">
        <v>2</v>
      </c>
      <c r="I83">
        <v>1.1000000000000001</v>
      </c>
      <c r="J83" s="2" t="s">
        <v>27</v>
      </c>
      <c r="K83" s="2">
        <f>Child_Health_data[[#This Row],[Weight_kg]]/((Child_Health_data[[#This Row],[Height_cm]]/100)^2)</f>
        <v>17.876437608609475</v>
      </c>
      <c r="L83" t="str">
        <f>(IF(Child_Health_data[[#This Row],[BMI]]&lt;18.5,"Underweight",
   IF(Child_Health_data[[#This Row],[BMI]]&lt;25,"Healthy Weight",
   IF(Child_Health_data[[#This Row],[BMI]]&lt;30,"Overweight","Obese"))))</f>
        <v>Underweight</v>
      </c>
      <c r="M83" s="2" t="str">
        <f t="shared" si="1"/>
        <v>37-48 Months</v>
      </c>
    </row>
    <row r="84" spans="1:13">
      <c r="A84" s="2" t="s">
        <v>99</v>
      </c>
      <c r="B84">
        <v>30</v>
      </c>
      <c r="C84" s="2" t="s">
        <v>19</v>
      </c>
      <c r="D84">
        <v>100.81</v>
      </c>
      <c r="E84">
        <v>14.39</v>
      </c>
      <c r="F84">
        <v>2</v>
      </c>
      <c r="G84">
        <v>4</v>
      </c>
      <c r="H84">
        <v>2</v>
      </c>
      <c r="I84">
        <v>2.6</v>
      </c>
      <c r="J84" s="2" t="s">
        <v>12</v>
      </c>
      <c r="K84" s="2">
        <f>Child_Health_data[[#This Row],[Weight_kg]]/((Child_Health_data[[#This Row],[Height_cm]]/100)^2)</f>
        <v>14.159684100694896</v>
      </c>
      <c r="L84" t="str">
        <f>(IF(Child_Health_data[[#This Row],[BMI]]&lt;18.5,"Underweight",
   IF(Child_Health_data[[#This Row],[BMI]]&lt;25,"Healthy Weight",
   IF(Child_Health_data[[#This Row],[BMI]]&lt;30,"Overweight","Obese"))))</f>
        <v>Underweight</v>
      </c>
      <c r="M84" s="2" t="str">
        <f t="shared" si="1"/>
        <v>24-36 Months</v>
      </c>
    </row>
    <row r="85" spans="1:13">
      <c r="A85" s="2" t="s">
        <v>100</v>
      </c>
      <c r="B85">
        <v>29</v>
      </c>
      <c r="C85" s="2" t="s">
        <v>11</v>
      </c>
      <c r="D85">
        <v>101.16</v>
      </c>
      <c r="E85">
        <v>14.14</v>
      </c>
      <c r="F85">
        <v>2</v>
      </c>
      <c r="G85">
        <v>2</v>
      </c>
      <c r="H85">
        <v>3</v>
      </c>
      <c r="I85">
        <v>1.3</v>
      </c>
      <c r="J85" s="2" t="s">
        <v>12</v>
      </c>
      <c r="K85" s="2">
        <f>Child_Health_data[[#This Row],[Weight_kg]]/((Child_Health_data[[#This Row],[Height_cm]]/100)^2)</f>
        <v>13.817573013462967</v>
      </c>
      <c r="L85" t="str">
        <f>(IF(Child_Health_data[[#This Row],[BMI]]&lt;18.5,"Underweight",
   IF(Child_Health_data[[#This Row],[BMI]]&lt;25,"Healthy Weight",
   IF(Child_Health_data[[#This Row],[BMI]]&lt;30,"Overweight","Obese"))))</f>
        <v>Underweight</v>
      </c>
      <c r="M85" s="2" t="str">
        <f t="shared" si="1"/>
        <v>24-36 Months</v>
      </c>
    </row>
    <row r="86" spans="1:13">
      <c r="A86" s="2" t="s">
        <v>101</v>
      </c>
      <c r="B86">
        <v>57</v>
      </c>
      <c r="C86" s="2" t="s">
        <v>11</v>
      </c>
      <c r="D86">
        <v>115.19</v>
      </c>
      <c r="E86">
        <v>20.76</v>
      </c>
      <c r="F86">
        <v>1</v>
      </c>
      <c r="G86">
        <v>4</v>
      </c>
      <c r="H86">
        <v>0</v>
      </c>
      <c r="I86">
        <v>1</v>
      </c>
      <c r="J86" s="2" t="s">
        <v>12</v>
      </c>
      <c r="K86" s="2">
        <f>Child_Health_data[[#This Row],[Weight_kg]]/((Child_Health_data[[#This Row],[Height_cm]]/100)^2)</f>
        <v>15.645800657682841</v>
      </c>
      <c r="L86" t="str">
        <f>(IF(Child_Health_data[[#This Row],[BMI]]&lt;18.5,"Underweight",
   IF(Child_Health_data[[#This Row],[BMI]]&lt;25,"Healthy Weight",
   IF(Child_Health_data[[#This Row],[BMI]]&lt;30,"Overweight","Obese"))))</f>
        <v>Underweight</v>
      </c>
      <c r="M86" s="2" t="str">
        <f t="shared" si="1"/>
        <v>49-60 Months</v>
      </c>
    </row>
    <row r="87" spans="1:13">
      <c r="A87" s="2" t="s">
        <v>102</v>
      </c>
      <c r="B87">
        <v>56</v>
      </c>
      <c r="C87" s="2" t="s">
        <v>19</v>
      </c>
      <c r="D87">
        <v>110.72</v>
      </c>
      <c r="E87">
        <v>20.149999999999999</v>
      </c>
      <c r="F87">
        <v>0</v>
      </c>
      <c r="G87">
        <v>1</v>
      </c>
      <c r="H87">
        <v>1</v>
      </c>
      <c r="I87">
        <v>2</v>
      </c>
      <c r="J87" s="2" t="s">
        <v>27</v>
      </c>
      <c r="K87" s="2">
        <f>Child_Health_data[[#This Row],[Weight_kg]]/((Child_Health_data[[#This Row],[Height_cm]]/100)^2)</f>
        <v>16.43701290971967</v>
      </c>
      <c r="L87" t="str">
        <f>(IF(Child_Health_data[[#This Row],[BMI]]&lt;18.5,"Underweight",
   IF(Child_Health_data[[#This Row],[BMI]]&lt;25,"Healthy Weight",
   IF(Child_Health_data[[#This Row],[BMI]]&lt;30,"Overweight","Obese"))))</f>
        <v>Underweight</v>
      </c>
      <c r="M87" s="2" t="str">
        <f t="shared" si="1"/>
        <v>49-60 Months</v>
      </c>
    </row>
    <row r="88" spans="1:13">
      <c r="A88" s="2" t="s">
        <v>103</v>
      </c>
      <c r="B88">
        <v>56</v>
      </c>
      <c r="C88" s="2" t="s">
        <v>11</v>
      </c>
      <c r="D88">
        <v>106.73</v>
      </c>
      <c r="E88">
        <v>24.09</v>
      </c>
      <c r="F88">
        <v>0</v>
      </c>
      <c r="G88">
        <v>1</v>
      </c>
      <c r="H88">
        <v>3</v>
      </c>
      <c r="I88">
        <v>1.7</v>
      </c>
      <c r="J88" s="2" t="s">
        <v>27</v>
      </c>
      <c r="K88" s="2">
        <f>Child_Health_data[[#This Row],[Weight_kg]]/((Child_Health_data[[#This Row],[Height_cm]]/100)^2)</f>
        <v>21.147731176326783</v>
      </c>
      <c r="L88" t="str">
        <f>(IF(Child_Health_data[[#This Row],[BMI]]&lt;18.5,"Underweight",
   IF(Child_Health_data[[#This Row],[BMI]]&lt;25,"Healthy Weight",
   IF(Child_Health_data[[#This Row],[BMI]]&lt;30,"Overweight","Obese"))))</f>
        <v>Healthy Weight</v>
      </c>
      <c r="M88" s="2" t="str">
        <f t="shared" si="1"/>
        <v>49-60 Months</v>
      </c>
    </row>
    <row r="89" spans="1:13">
      <c r="A89" s="2" t="s">
        <v>104</v>
      </c>
      <c r="B89">
        <v>25</v>
      </c>
      <c r="C89" s="2" t="s">
        <v>11</v>
      </c>
      <c r="D89">
        <v>99.72</v>
      </c>
      <c r="E89">
        <v>14.9</v>
      </c>
      <c r="F89">
        <v>4</v>
      </c>
      <c r="G89">
        <v>2</v>
      </c>
      <c r="H89">
        <v>3</v>
      </c>
      <c r="I89">
        <v>2.2000000000000002</v>
      </c>
      <c r="J89" s="2" t="s">
        <v>14</v>
      </c>
      <c r="K89" s="2">
        <f>Child_Health_data[[#This Row],[Weight_kg]]/((Child_Health_data[[#This Row],[Height_cm]]/100)^2)</f>
        <v>14.983791760933824</v>
      </c>
      <c r="L89" t="str">
        <f>(IF(Child_Health_data[[#This Row],[BMI]]&lt;18.5,"Underweight",
   IF(Child_Health_data[[#This Row],[BMI]]&lt;25,"Healthy Weight",
   IF(Child_Health_data[[#This Row],[BMI]]&lt;30,"Overweight","Obese"))))</f>
        <v>Underweight</v>
      </c>
      <c r="M89" s="2" t="str">
        <f t="shared" si="1"/>
        <v>24-36 Months</v>
      </c>
    </row>
    <row r="90" spans="1:13">
      <c r="A90" s="2" t="s">
        <v>105</v>
      </c>
      <c r="B90">
        <v>30</v>
      </c>
      <c r="C90" s="2" t="s">
        <v>11</v>
      </c>
      <c r="D90">
        <v>96.45</v>
      </c>
      <c r="E90">
        <v>14.77</v>
      </c>
      <c r="F90">
        <v>4</v>
      </c>
      <c r="G90">
        <v>2</v>
      </c>
      <c r="H90">
        <v>0</v>
      </c>
      <c r="I90">
        <v>0.6</v>
      </c>
      <c r="J90" s="2" t="s">
        <v>24</v>
      </c>
      <c r="K90" s="2">
        <f>Child_Health_data[[#This Row],[Weight_kg]]/((Child_Health_data[[#This Row],[Height_cm]]/100)^2)</f>
        <v>15.877277353299789</v>
      </c>
      <c r="L90" t="str">
        <f>(IF(Child_Health_data[[#This Row],[BMI]]&lt;18.5,"Underweight",
   IF(Child_Health_data[[#This Row],[BMI]]&lt;25,"Healthy Weight",
   IF(Child_Health_data[[#This Row],[BMI]]&lt;30,"Overweight","Obese"))))</f>
        <v>Underweight</v>
      </c>
      <c r="M90" s="2" t="str">
        <f t="shared" si="1"/>
        <v>24-36 Months</v>
      </c>
    </row>
    <row r="91" spans="1:13">
      <c r="A91" s="2" t="s">
        <v>106</v>
      </c>
      <c r="B91">
        <v>53</v>
      </c>
      <c r="C91" s="2" t="s">
        <v>19</v>
      </c>
      <c r="D91">
        <v>106.44</v>
      </c>
      <c r="E91">
        <v>20.73</v>
      </c>
      <c r="F91">
        <v>4</v>
      </c>
      <c r="G91">
        <v>3</v>
      </c>
      <c r="H91">
        <v>2</v>
      </c>
      <c r="I91">
        <v>2</v>
      </c>
      <c r="J91" s="2" t="s">
        <v>12</v>
      </c>
      <c r="K91" s="2">
        <f>Child_Health_data[[#This Row],[Weight_kg]]/((Child_Health_data[[#This Row],[Height_cm]]/100)^2)</f>
        <v>18.29740792193558</v>
      </c>
      <c r="L91" t="str">
        <f>(IF(Child_Health_data[[#This Row],[BMI]]&lt;18.5,"Underweight",
   IF(Child_Health_data[[#This Row],[BMI]]&lt;25,"Healthy Weight",
   IF(Child_Health_data[[#This Row],[BMI]]&lt;30,"Overweight","Obese"))))</f>
        <v>Underweight</v>
      </c>
      <c r="M91" s="2" t="str">
        <f t="shared" si="1"/>
        <v>49-60 Months</v>
      </c>
    </row>
    <row r="92" spans="1:13">
      <c r="A92" s="2" t="s">
        <v>107</v>
      </c>
      <c r="B92">
        <v>29</v>
      </c>
      <c r="C92" s="2" t="s">
        <v>11</v>
      </c>
      <c r="D92">
        <v>97.77</v>
      </c>
      <c r="E92">
        <v>15.72</v>
      </c>
      <c r="F92">
        <v>2</v>
      </c>
      <c r="G92">
        <v>0</v>
      </c>
      <c r="H92">
        <v>0</v>
      </c>
      <c r="I92">
        <v>0.9</v>
      </c>
      <c r="J92" s="2" t="s">
        <v>12</v>
      </c>
      <c r="K92" s="2">
        <f>Child_Health_data[[#This Row],[Weight_kg]]/((Child_Health_data[[#This Row],[Height_cm]]/100)^2)</f>
        <v>16.445281479979926</v>
      </c>
      <c r="L92" t="str">
        <f>(IF(Child_Health_data[[#This Row],[BMI]]&lt;18.5,"Underweight",
   IF(Child_Health_data[[#This Row],[BMI]]&lt;25,"Healthy Weight",
   IF(Child_Health_data[[#This Row],[BMI]]&lt;30,"Overweight","Obese"))))</f>
        <v>Underweight</v>
      </c>
      <c r="M92" s="2" t="str">
        <f t="shared" si="1"/>
        <v>24-36 Months</v>
      </c>
    </row>
    <row r="93" spans="1:13">
      <c r="A93" s="2" t="s">
        <v>108</v>
      </c>
      <c r="B93">
        <v>58</v>
      </c>
      <c r="C93" s="2" t="s">
        <v>19</v>
      </c>
      <c r="D93">
        <v>113.49</v>
      </c>
      <c r="E93">
        <v>25.26</v>
      </c>
      <c r="F93">
        <v>0</v>
      </c>
      <c r="G93">
        <v>4</v>
      </c>
      <c r="H93">
        <v>3</v>
      </c>
      <c r="I93">
        <v>3</v>
      </c>
      <c r="J93" s="2" t="s">
        <v>27</v>
      </c>
      <c r="K93" s="2">
        <f>Child_Health_data[[#This Row],[Weight_kg]]/((Child_Health_data[[#This Row],[Height_cm]]/100)^2)</f>
        <v>19.611831543124822</v>
      </c>
      <c r="L93" t="str">
        <f>(IF(Child_Health_data[[#This Row],[BMI]]&lt;18.5,"Underweight",
   IF(Child_Health_data[[#This Row],[BMI]]&lt;25,"Healthy Weight",
   IF(Child_Health_data[[#This Row],[BMI]]&lt;30,"Overweight","Obese"))))</f>
        <v>Healthy Weight</v>
      </c>
      <c r="M93" s="2" t="str">
        <f t="shared" si="1"/>
        <v>49-60 Months</v>
      </c>
    </row>
    <row r="94" spans="1:13">
      <c r="A94" s="2" t="s">
        <v>109</v>
      </c>
      <c r="B94">
        <v>26</v>
      </c>
      <c r="C94" s="2" t="s">
        <v>19</v>
      </c>
      <c r="D94">
        <v>92.08</v>
      </c>
      <c r="E94">
        <v>15.29</v>
      </c>
      <c r="F94">
        <v>4</v>
      </c>
      <c r="G94">
        <v>1</v>
      </c>
      <c r="H94">
        <v>2</v>
      </c>
      <c r="I94">
        <v>2.6</v>
      </c>
      <c r="J94" s="2" t="s">
        <v>20</v>
      </c>
      <c r="K94" s="2">
        <f>Child_Health_data[[#This Row],[Weight_kg]]/((Child_Health_data[[#This Row],[Height_cm]]/100)^2)</f>
        <v>18.033368785198682</v>
      </c>
      <c r="L94" t="str">
        <f>(IF(Child_Health_data[[#This Row],[BMI]]&lt;18.5,"Underweight",
   IF(Child_Health_data[[#This Row],[BMI]]&lt;25,"Healthy Weight",
   IF(Child_Health_data[[#This Row],[BMI]]&lt;30,"Overweight","Obese"))))</f>
        <v>Underweight</v>
      </c>
      <c r="M94" s="2" t="str">
        <f t="shared" si="1"/>
        <v>24-36 Months</v>
      </c>
    </row>
    <row r="95" spans="1:13">
      <c r="A95" s="2" t="s">
        <v>110</v>
      </c>
      <c r="B95">
        <v>25</v>
      </c>
      <c r="C95" s="2" t="s">
        <v>11</v>
      </c>
      <c r="D95">
        <v>96.42</v>
      </c>
      <c r="E95">
        <v>15.34</v>
      </c>
      <c r="F95">
        <v>4</v>
      </c>
      <c r="G95">
        <v>3</v>
      </c>
      <c r="H95">
        <v>2</v>
      </c>
      <c r="I95">
        <v>0.9</v>
      </c>
      <c r="J95" s="2" t="s">
        <v>20</v>
      </c>
      <c r="K95" s="2">
        <f>Child_Health_data[[#This Row],[Weight_kg]]/((Child_Health_data[[#This Row],[Height_cm]]/100)^2)</f>
        <v>16.500272071630885</v>
      </c>
      <c r="L95" t="str">
        <f>(IF(Child_Health_data[[#This Row],[BMI]]&lt;18.5,"Underweight",
   IF(Child_Health_data[[#This Row],[BMI]]&lt;25,"Healthy Weight",
   IF(Child_Health_data[[#This Row],[BMI]]&lt;30,"Overweight","Obese"))))</f>
        <v>Underweight</v>
      </c>
      <c r="M95" s="2" t="str">
        <f t="shared" si="1"/>
        <v>24-36 Months</v>
      </c>
    </row>
    <row r="96" spans="1:13">
      <c r="A96" s="2" t="s">
        <v>111</v>
      </c>
      <c r="B96">
        <v>59</v>
      </c>
      <c r="C96" s="2" t="s">
        <v>11</v>
      </c>
      <c r="D96">
        <v>108.1</v>
      </c>
      <c r="E96">
        <v>19.25</v>
      </c>
      <c r="F96">
        <v>1</v>
      </c>
      <c r="G96">
        <v>0</v>
      </c>
      <c r="H96">
        <v>1</v>
      </c>
      <c r="I96">
        <v>1</v>
      </c>
      <c r="J96" s="2" t="s">
        <v>12</v>
      </c>
      <c r="K96" s="2">
        <f>Child_Health_data[[#This Row],[Weight_kg]]/((Child_Health_data[[#This Row],[Height_cm]]/100)^2)</f>
        <v>16.47325214515973</v>
      </c>
      <c r="L96" t="str">
        <f>(IF(Child_Health_data[[#This Row],[BMI]]&lt;18.5,"Underweight",
   IF(Child_Health_data[[#This Row],[BMI]]&lt;25,"Healthy Weight",
   IF(Child_Health_data[[#This Row],[BMI]]&lt;30,"Overweight","Obese"))))</f>
        <v>Underweight</v>
      </c>
      <c r="M96" s="2" t="str">
        <f t="shared" si="1"/>
        <v>49-60 Months</v>
      </c>
    </row>
    <row r="97" spans="1:13">
      <c r="A97" s="2" t="s">
        <v>112</v>
      </c>
      <c r="B97">
        <v>50</v>
      </c>
      <c r="C97" s="2" t="s">
        <v>11</v>
      </c>
      <c r="D97">
        <v>109.15</v>
      </c>
      <c r="E97">
        <v>22.09</v>
      </c>
      <c r="F97">
        <v>1</v>
      </c>
      <c r="G97">
        <v>4</v>
      </c>
      <c r="H97">
        <v>0</v>
      </c>
      <c r="I97">
        <v>0.6</v>
      </c>
      <c r="J97" s="2" t="s">
        <v>14</v>
      </c>
      <c r="K97" s="2">
        <f>Child_Health_data[[#This Row],[Weight_kg]]/((Child_Health_data[[#This Row],[Height_cm]]/100)^2)</f>
        <v>18.541643890060385</v>
      </c>
      <c r="L97" t="str">
        <f>(IF(Child_Health_data[[#This Row],[BMI]]&lt;18.5,"Underweight",
   IF(Child_Health_data[[#This Row],[BMI]]&lt;25,"Healthy Weight",
   IF(Child_Health_data[[#This Row],[BMI]]&lt;30,"Overweight","Obese"))))</f>
        <v>Healthy Weight</v>
      </c>
      <c r="M97" s="2" t="str">
        <f t="shared" si="1"/>
        <v>49-60 Months</v>
      </c>
    </row>
    <row r="98" spans="1:13">
      <c r="A98" s="2" t="s">
        <v>113</v>
      </c>
      <c r="B98">
        <v>48</v>
      </c>
      <c r="C98" s="2" t="s">
        <v>19</v>
      </c>
      <c r="D98">
        <v>107.71</v>
      </c>
      <c r="E98">
        <v>19.079999999999998</v>
      </c>
      <c r="F98">
        <v>0</v>
      </c>
      <c r="G98">
        <v>2</v>
      </c>
      <c r="H98">
        <v>2</v>
      </c>
      <c r="I98">
        <v>1.8</v>
      </c>
      <c r="J98" s="2" t="s">
        <v>20</v>
      </c>
      <c r="K98" s="2">
        <f>Child_Health_data[[#This Row],[Weight_kg]]/((Child_Health_data[[#This Row],[Height_cm]]/100)^2)</f>
        <v>16.446228448404973</v>
      </c>
      <c r="L98" t="str">
        <f>(IF(Child_Health_data[[#This Row],[BMI]]&lt;18.5,"Underweight",
   IF(Child_Health_data[[#This Row],[BMI]]&lt;25,"Healthy Weight",
   IF(Child_Health_data[[#This Row],[BMI]]&lt;30,"Overweight","Obese"))))</f>
        <v>Underweight</v>
      </c>
      <c r="M98" s="2" t="str">
        <f t="shared" si="1"/>
        <v>37-48 Months</v>
      </c>
    </row>
    <row r="99" spans="1:13">
      <c r="A99" s="2" t="s">
        <v>114</v>
      </c>
      <c r="B99">
        <v>57</v>
      </c>
      <c r="C99" s="2" t="s">
        <v>19</v>
      </c>
      <c r="D99">
        <v>112.41</v>
      </c>
      <c r="E99">
        <v>21.55</v>
      </c>
      <c r="F99">
        <v>2</v>
      </c>
      <c r="G99">
        <v>4</v>
      </c>
      <c r="H99">
        <v>0</v>
      </c>
      <c r="I99">
        <v>0.9</v>
      </c>
      <c r="J99" s="2" t="s">
        <v>12</v>
      </c>
      <c r="K99" s="2">
        <f>Child_Health_data[[#This Row],[Weight_kg]]/((Child_Health_data[[#This Row],[Height_cm]]/100)^2)</f>
        <v>17.054436677671966</v>
      </c>
      <c r="L99" t="str">
        <f>(IF(Child_Health_data[[#This Row],[BMI]]&lt;18.5,"Underweight",
   IF(Child_Health_data[[#This Row],[BMI]]&lt;25,"Healthy Weight",
   IF(Child_Health_data[[#This Row],[BMI]]&lt;30,"Overweight","Obese"))))</f>
        <v>Underweight</v>
      </c>
      <c r="M99" s="2" t="str">
        <f t="shared" si="1"/>
        <v>49-60 Months</v>
      </c>
    </row>
    <row r="100" spans="1:13">
      <c r="A100" s="2" t="s">
        <v>115</v>
      </c>
      <c r="B100">
        <v>45</v>
      </c>
      <c r="C100" s="2" t="s">
        <v>19</v>
      </c>
      <c r="D100">
        <v>110.12</v>
      </c>
      <c r="E100">
        <v>18.510000000000002</v>
      </c>
      <c r="F100">
        <v>0</v>
      </c>
      <c r="G100">
        <v>2</v>
      </c>
      <c r="H100">
        <v>0</v>
      </c>
      <c r="I100">
        <v>0.9</v>
      </c>
      <c r="J100" s="2" t="s">
        <v>24</v>
      </c>
      <c r="K100" s="2">
        <f>Child_Health_data[[#This Row],[Weight_kg]]/((Child_Health_data[[#This Row],[Height_cm]]/100)^2)</f>
        <v>15.264198789050129</v>
      </c>
      <c r="L100" t="str">
        <f>(IF(Child_Health_data[[#This Row],[BMI]]&lt;18.5,"Underweight",
   IF(Child_Health_data[[#This Row],[BMI]]&lt;25,"Healthy Weight",
   IF(Child_Health_data[[#This Row],[BMI]]&lt;30,"Overweight","Obese"))))</f>
        <v>Underweight</v>
      </c>
      <c r="M100" s="2" t="str">
        <f t="shared" si="1"/>
        <v>37-48 Months</v>
      </c>
    </row>
    <row r="101" spans="1:13">
      <c r="A101" s="2" t="s">
        <v>116</v>
      </c>
      <c r="B101">
        <v>49</v>
      </c>
      <c r="C101" s="2" t="s">
        <v>19</v>
      </c>
      <c r="D101">
        <v>106.6</v>
      </c>
      <c r="E101">
        <v>21.21</v>
      </c>
      <c r="F101">
        <v>0</v>
      </c>
      <c r="G101">
        <v>0</v>
      </c>
      <c r="H101">
        <v>2</v>
      </c>
      <c r="I101">
        <v>2.5</v>
      </c>
      <c r="J101" s="2" t="s">
        <v>24</v>
      </c>
      <c r="K101" s="2">
        <f>Child_Health_data[[#This Row],[Weight_kg]]/((Child_Health_data[[#This Row],[Height_cm]]/100)^2)</f>
        <v>18.664925428298883</v>
      </c>
      <c r="L101" t="str">
        <f>(IF(Child_Health_data[[#This Row],[BMI]]&lt;18.5,"Underweight",
   IF(Child_Health_data[[#This Row],[BMI]]&lt;25,"Healthy Weight",
   IF(Child_Health_data[[#This Row],[BMI]]&lt;30,"Overweight","Obese"))))</f>
        <v>Healthy Weight</v>
      </c>
      <c r="M101" s="2" t="str">
        <f t="shared" si="1"/>
        <v>49-60 Months</v>
      </c>
    </row>
    <row r="102" spans="1:13">
      <c r="A102" s="2"/>
      <c r="C102" s="2"/>
      <c r="J102" s="2"/>
      <c r="K102" s="2"/>
      <c r="L102" s="2"/>
      <c r="M102" s="2"/>
    </row>
    <row r="103" spans="1:13">
      <c r="A103" s="2"/>
      <c r="C103" s="2"/>
      <c r="J103" s="2"/>
      <c r="K103" s="2"/>
      <c r="L103" s="2"/>
      <c r="M103" s="2"/>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A8834-BDE9-4B50-8BCC-334070F2F415}">
  <dimension ref="A2:I11"/>
  <sheetViews>
    <sheetView tabSelected="1" workbookViewId="0">
      <selection activeCell="D24" sqref="D24"/>
    </sheetView>
  </sheetViews>
  <sheetFormatPr defaultRowHeight="14.4"/>
  <cols>
    <col min="1" max="1" width="23.6640625" bestFit="1" customWidth="1"/>
    <col min="2" max="2" width="13.6640625" bestFit="1" customWidth="1"/>
    <col min="3" max="4" width="10.5546875" bestFit="1" customWidth="1"/>
  </cols>
  <sheetData>
    <row r="2" spans="1:9" ht="18">
      <c r="B2" s="5" t="s">
        <v>126</v>
      </c>
      <c r="C2" s="6"/>
      <c r="D2" s="6"/>
      <c r="E2" s="6"/>
      <c r="F2" s="6"/>
      <c r="G2" s="6"/>
      <c r="H2" s="6"/>
      <c r="I2" s="6"/>
    </row>
    <row r="6" spans="1:9">
      <c r="A6" s="3" t="s">
        <v>126</v>
      </c>
      <c r="B6" s="3" t="s">
        <v>127</v>
      </c>
    </row>
    <row r="7" spans="1:9">
      <c r="A7" s="3" t="s">
        <v>119</v>
      </c>
      <c r="B7" t="s">
        <v>120</v>
      </c>
      <c r="C7" t="s">
        <v>121</v>
      </c>
    </row>
    <row r="8" spans="1:9">
      <c r="A8" s="4" t="s">
        <v>123</v>
      </c>
      <c r="B8" s="2">
        <v>3</v>
      </c>
      <c r="C8" s="2">
        <v>3</v>
      </c>
    </row>
    <row r="9" spans="1:9">
      <c r="A9" s="4" t="s">
        <v>124</v>
      </c>
      <c r="B9" s="2">
        <v>5</v>
      </c>
      <c r="C9" s="2">
        <v>5</v>
      </c>
    </row>
    <row r="10" spans="1:9">
      <c r="A10" s="4" t="s">
        <v>125</v>
      </c>
      <c r="B10" s="2">
        <v>5</v>
      </c>
      <c r="C10" s="2">
        <v>5</v>
      </c>
    </row>
    <row r="11" spans="1:9">
      <c r="A11" s="4" t="s">
        <v>121</v>
      </c>
      <c r="B11" s="2">
        <v>13</v>
      </c>
      <c r="C11" s="2">
        <v>13</v>
      </c>
    </row>
  </sheetData>
  <mergeCells count="1">
    <mergeCell ref="B2:I2"/>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89CAA-CF64-43A9-A09F-E54D68EDD74A}">
  <dimension ref="A1:K10"/>
  <sheetViews>
    <sheetView workbookViewId="0">
      <selection activeCell="D23" sqref="D23"/>
    </sheetView>
  </sheetViews>
  <sheetFormatPr defaultRowHeight="14.4"/>
  <cols>
    <col min="1" max="1" width="12.88671875" bestFit="1" customWidth="1"/>
    <col min="2" max="2" width="7.5546875" bestFit="1" customWidth="1"/>
    <col min="3" max="6" width="5.5546875" bestFit="1" customWidth="1"/>
    <col min="7" max="7" width="10.5546875" bestFit="1" customWidth="1"/>
    <col min="8" max="10" width="12" bestFit="1" customWidth="1"/>
    <col min="11" max="12" width="11" bestFit="1" customWidth="1"/>
    <col min="13" max="23" width="12" bestFit="1" customWidth="1"/>
    <col min="24" max="24" width="10" bestFit="1" customWidth="1"/>
    <col min="25" max="28" width="12" bestFit="1" customWidth="1"/>
    <col min="29" max="29" width="11" bestFit="1" customWidth="1"/>
    <col min="30" max="64" width="12" bestFit="1" customWidth="1"/>
    <col min="65" max="65" width="11" bestFit="1" customWidth="1"/>
    <col min="66" max="69" width="12" bestFit="1" customWidth="1"/>
    <col min="70" max="70" width="11" bestFit="1" customWidth="1"/>
    <col min="71" max="72" width="12" bestFit="1" customWidth="1"/>
    <col min="73" max="73" width="11" bestFit="1" customWidth="1"/>
    <col min="74" max="80" width="12" bestFit="1" customWidth="1"/>
    <col min="81" max="81" width="11" bestFit="1" customWidth="1"/>
    <col min="82" max="88" width="12" bestFit="1" customWidth="1"/>
    <col min="89" max="89" width="11" bestFit="1" customWidth="1"/>
    <col min="90" max="96" width="12" bestFit="1" customWidth="1"/>
    <col min="97" max="97" width="11" bestFit="1" customWidth="1"/>
    <col min="98" max="98" width="12" bestFit="1" customWidth="1"/>
    <col min="99" max="99" width="11" bestFit="1" customWidth="1"/>
    <col min="100" max="101" width="12" bestFit="1" customWidth="1"/>
    <col min="102" max="102" width="28.44140625" bestFit="1" customWidth="1"/>
    <col min="103" max="103" width="11" bestFit="1" customWidth="1"/>
    <col min="104" max="110" width="12" bestFit="1" customWidth="1"/>
    <col min="111" max="112" width="11" bestFit="1" customWidth="1"/>
    <col min="113" max="123" width="12" bestFit="1" customWidth="1"/>
    <col min="124" max="124" width="10" bestFit="1" customWidth="1"/>
    <col min="125" max="128" width="12" bestFit="1" customWidth="1"/>
    <col min="129" max="129" width="11" bestFit="1" customWidth="1"/>
    <col min="130" max="164" width="12" bestFit="1" customWidth="1"/>
    <col min="165" max="165" width="11" bestFit="1" customWidth="1"/>
    <col min="166" max="169" width="12" bestFit="1" customWidth="1"/>
    <col min="170" max="170" width="11" bestFit="1" customWidth="1"/>
    <col min="171" max="172" width="12" bestFit="1" customWidth="1"/>
    <col min="173" max="173" width="11" bestFit="1" customWidth="1"/>
    <col min="174" max="180" width="12" bestFit="1" customWidth="1"/>
    <col min="181" max="181" width="11" bestFit="1" customWidth="1"/>
    <col min="182" max="188" width="12" bestFit="1" customWidth="1"/>
    <col min="189" max="189" width="11" bestFit="1" customWidth="1"/>
    <col min="190" max="196" width="12" bestFit="1" customWidth="1"/>
    <col min="197" max="197" width="11" bestFit="1" customWidth="1"/>
    <col min="198" max="198" width="12" bestFit="1" customWidth="1"/>
    <col min="199" max="199" width="11" bestFit="1" customWidth="1"/>
    <col min="200" max="201" width="12" bestFit="1" customWidth="1"/>
    <col min="202" max="202" width="14.44140625" bestFit="1" customWidth="1"/>
    <col min="203" max="203" width="11" bestFit="1" customWidth="1"/>
    <col min="204" max="210" width="12" bestFit="1" customWidth="1"/>
    <col min="211" max="212" width="11" bestFit="1" customWidth="1"/>
    <col min="213" max="223" width="12" bestFit="1" customWidth="1"/>
    <col min="224" max="224" width="10" bestFit="1" customWidth="1"/>
    <col min="225" max="228" width="12" bestFit="1" customWidth="1"/>
    <col min="229" max="229" width="11" bestFit="1" customWidth="1"/>
    <col min="230" max="264" width="12" bestFit="1" customWidth="1"/>
    <col min="265" max="265" width="11" bestFit="1" customWidth="1"/>
    <col min="266" max="269" width="12" bestFit="1" customWidth="1"/>
    <col min="270" max="270" width="11" bestFit="1" customWidth="1"/>
    <col min="271" max="272" width="12" bestFit="1" customWidth="1"/>
    <col min="273" max="273" width="11" bestFit="1" customWidth="1"/>
    <col min="274" max="280" width="12" bestFit="1" customWidth="1"/>
    <col min="281" max="281" width="11" bestFit="1" customWidth="1"/>
    <col min="282" max="288" width="12" bestFit="1" customWidth="1"/>
    <col min="289" max="289" width="11" bestFit="1" customWidth="1"/>
    <col min="290" max="296" width="12" bestFit="1" customWidth="1"/>
    <col min="297" max="297" width="11" bestFit="1" customWidth="1"/>
    <col min="298" max="298" width="12" bestFit="1" customWidth="1"/>
    <col min="299" max="299" width="11" bestFit="1" customWidth="1"/>
    <col min="300" max="301" width="12" bestFit="1" customWidth="1"/>
    <col min="302" max="302" width="31.44140625" bestFit="1" customWidth="1"/>
    <col min="303" max="303" width="33" bestFit="1" customWidth="1"/>
    <col min="304" max="304" width="19" bestFit="1" customWidth="1"/>
  </cols>
  <sheetData>
    <row r="1" spans="1:11" ht="15.6">
      <c r="D1" s="8" t="s">
        <v>132</v>
      </c>
      <c r="E1" s="6"/>
      <c r="F1" s="6"/>
      <c r="G1" s="6"/>
      <c r="H1" s="6"/>
      <c r="I1" s="6"/>
      <c r="J1" s="6"/>
      <c r="K1" s="6"/>
    </row>
    <row r="3" spans="1:11">
      <c r="A3" s="3" t="s">
        <v>129</v>
      </c>
      <c r="B3" s="3" t="s">
        <v>131</v>
      </c>
    </row>
    <row r="4" spans="1:11">
      <c r="A4" s="3" t="s">
        <v>130</v>
      </c>
      <c r="B4">
        <v>0</v>
      </c>
      <c r="C4">
        <v>1</v>
      </c>
      <c r="D4">
        <v>2</v>
      </c>
      <c r="E4">
        <v>3</v>
      </c>
      <c r="F4">
        <v>4</v>
      </c>
      <c r="G4" t="s">
        <v>121</v>
      </c>
    </row>
    <row r="5" spans="1:11">
      <c r="A5" s="4">
        <v>0</v>
      </c>
      <c r="B5" s="7">
        <v>19.92193117497148</v>
      </c>
      <c r="C5" s="7">
        <v>21.147731176326783</v>
      </c>
      <c r="D5" s="7"/>
      <c r="E5" s="7"/>
      <c r="F5" s="7"/>
      <c r="G5" s="7">
        <v>20.534831175649131</v>
      </c>
    </row>
    <row r="6" spans="1:11">
      <c r="A6" s="4">
        <v>1</v>
      </c>
      <c r="B6" s="7"/>
      <c r="C6" s="7"/>
      <c r="D6" s="7">
        <v>18.706628300517327</v>
      </c>
      <c r="E6" s="7"/>
      <c r="F6" s="7">
        <v>18.541643890060385</v>
      </c>
      <c r="G6" s="7">
        <v>18.624136095288854</v>
      </c>
    </row>
    <row r="7" spans="1:11">
      <c r="A7" s="4">
        <v>2</v>
      </c>
      <c r="B7" s="7">
        <v>19.75238446372795</v>
      </c>
      <c r="C7" s="7"/>
      <c r="D7" s="7">
        <v>18.553628408784363</v>
      </c>
      <c r="E7" s="7"/>
      <c r="F7" s="7"/>
      <c r="G7" s="7">
        <v>19.153006436256156</v>
      </c>
    </row>
    <row r="8" spans="1:11">
      <c r="A8" s="4">
        <v>3</v>
      </c>
      <c r="B8" s="7"/>
      <c r="C8" s="7"/>
      <c r="D8" s="7">
        <v>20.063638232449808</v>
      </c>
      <c r="E8" s="7">
        <v>19.105850849662808</v>
      </c>
      <c r="F8" s="7"/>
      <c r="G8" s="7">
        <v>19.680523279335009</v>
      </c>
    </row>
    <row r="9" spans="1:11">
      <c r="A9" s="4">
        <v>4</v>
      </c>
      <c r="B9" s="7"/>
      <c r="C9" s="7">
        <v>19.775366471749727</v>
      </c>
      <c r="D9" s="7"/>
      <c r="E9" s="7">
        <v>19.570875087215928</v>
      </c>
      <c r="F9" s="7"/>
      <c r="G9" s="7">
        <v>19.673120779482829</v>
      </c>
    </row>
    <row r="10" spans="1:11">
      <c r="A10" s="4" t="s">
        <v>121</v>
      </c>
      <c r="B10" s="7">
        <v>19.837157819349713</v>
      </c>
      <c r="C10" s="7">
        <v>20.461548824038253</v>
      </c>
      <c r="D10" s="7">
        <v>19.490234281330221</v>
      </c>
      <c r="E10" s="7">
        <v>19.260858928847181</v>
      </c>
      <c r="F10" s="7">
        <v>18.541643890060385</v>
      </c>
      <c r="G10" s="7">
        <v>19.567138874617616</v>
      </c>
    </row>
  </sheetData>
  <mergeCells count="1">
    <mergeCell ref="D1:K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63528-7216-4BA9-B5D7-A19B2CA08F63}">
  <dimension ref="A1:P5"/>
  <sheetViews>
    <sheetView workbookViewId="0">
      <selection activeCell="C24" sqref="C24"/>
    </sheetView>
  </sheetViews>
  <sheetFormatPr defaultRowHeight="14.4"/>
  <cols>
    <col min="1" max="1" width="13.109375" bestFit="1" customWidth="1"/>
    <col min="2" max="2" width="26" bestFit="1" customWidth="1"/>
    <col min="3" max="3" width="25.77734375" bestFit="1" customWidth="1"/>
    <col min="4" max="4" width="12.21875" bestFit="1" customWidth="1"/>
    <col min="5" max="6" width="4" bestFit="1" customWidth="1"/>
    <col min="7" max="7" width="2" bestFit="1" customWidth="1"/>
    <col min="8" max="16" width="4" bestFit="1" customWidth="1"/>
    <col min="17" max="17" width="2" bestFit="1" customWidth="1"/>
    <col min="18" max="24" width="4" bestFit="1" customWidth="1"/>
    <col min="25" max="25" width="2" bestFit="1" customWidth="1"/>
    <col min="26" max="28" width="4" bestFit="1" customWidth="1"/>
    <col min="29" max="29" width="10.5546875" bestFit="1" customWidth="1"/>
  </cols>
  <sheetData>
    <row r="1" spans="1:16" ht="15.6">
      <c r="C1" s="8" t="s">
        <v>135</v>
      </c>
      <c r="D1" s="6"/>
      <c r="E1" s="6"/>
      <c r="F1" s="6"/>
      <c r="G1" s="6"/>
      <c r="H1" s="6"/>
      <c r="I1" s="6"/>
      <c r="J1" s="6"/>
      <c r="K1" s="6"/>
      <c r="L1" s="6"/>
      <c r="M1" s="6"/>
      <c r="N1" s="6"/>
      <c r="O1" s="6"/>
      <c r="P1" s="6"/>
    </row>
    <row r="3" spans="1:16">
      <c r="A3" s="3" t="s">
        <v>119</v>
      </c>
      <c r="B3" t="s">
        <v>133</v>
      </c>
      <c r="C3" t="s">
        <v>134</v>
      </c>
      <c r="D3" t="s">
        <v>137</v>
      </c>
    </row>
    <row r="4" spans="1:16">
      <c r="A4" s="4" t="s">
        <v>120</v>
      </c>
      <c r="B4" s="7">
        <v>1.3076923076923077</v>
      </c>
      <c r="C4" s="7">
        <v>1.4769230769230768</v>
      </c>
      <c r="D4" s="2">
        <v>0</v>
      </c>
    </row>
    <row r="5" spans="1:16">
      <c r="A5" s="4" t="s">
        <v>121</v>
      </c>
      <c r="B5" s="7">
        <v>1.3076923076923077</v>
      </c>
      <c r="C5" s="7">
        <v>1.4769230769230768</v>
      </c>
      <c r="D5" s="2">
        <v>0</v>
      </c>
    </row>
  </sheetData>
  <mergeCells count="1">
    <mergeCell ref="C1:P1"/>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71D45-AA58-4BEF-A108-AEEB38B92617}">
  <dimension ref="A1:G9"/>
  <sheetViews>
    <sheetView workbookViewId="0">
      <selection activeCell="D16" sqref="D16"/>
    </sheetView>
  </sheetViews>
  <sheetFormatPr defaultRowHeight="14.4"/>
  <cols>
    <col min="1" max="1" width="12.44140625" bestFit="1" customWidth="1"/>
    <col min="2" max="2" width="26.88671875" bestFit="1" customWidth="1"/>
    <col min="3" max="3" width="12.88671875" bestFit="1" customWidth="1"/>
    <col min="4" max="10" width="12" bestFit="1" customWidth="1"/>
    <col min="11" max="12" width="11" bestFit="1" customWidth="1"/>
    <col min="13" max="23" width="12" bestFit="1" customWidth="1"/>
    <col min="24" max="24" width="10" bestFit="1" customWidth="1"/>
    <col min="25" max="28" width="12" bestFit="1" customWidth="1"/>
    <col min="29" max="29" width="11" bestFit="1" customWidth="1"/>
    <col min="30" max="64" width="12" bestFit="1" customWidth="1"/>
    <col min="65" max="65" width="11" bestFit="1" customWidth="1"/>
    <col min="66" max="69" width="12" bestFit="1" customWidth="1"/>
    <col min="70" max="70" width="11" bestFit="1" customWidth="1"/>
    <col min="71" max="72" width="12" bestFit="1" customWidth="1"/>
    <col min="73" max="73" width="11" bestFit="1" customWidth="1"/>
    <col min="74" max="80" width="12" bestFit="1" customWidth="1"/>
    <col min="81" max="81" width="11" bestFit="1" customWidth="1"/>
    <col min="82" max="88" width="12" bestFit="1" customWidth="1"/>
    <col min="89" max="89" width="11" bestFit="1" customWidth="1"/>
    <col min="90" max="96" width="12" bestFit="1" customWidth="1"/>
    <col min="97" max="97" width="11" bestFit="1" customWidth="1"/>
    <col min="98" max="98" width="12" bestFit="1" customWidth="1"/>
    <col min="99" max="99" width="11" bestFit="1" customWidth="1"/>
    <col min="100" max="101" width="12" bestFit="1" customWidth="1"/>
    <col min="102" max="102" width="10.5546875" bestFit="1" customWidth="1"/>
  </cols>
  <sheetData>
    <row r="1" spans="1:7" ht="15.6">
      <c r="C1" s="8" t="s">
        <v>136</v>
      </c>
      <c r="D1" s="6"/>
      <c r="E1" s="6"/>
      <c r="F1" s="6"/>
      <c r="G1" s="6"/>
    </row>
    <row r="3" spans="1:7">
      <c r="A3" s="3" t="s">
        <v>119</v>
      </c>
      <c r="B3" t="s">
        <v>128</v>
      </c>
      <c r="C3" t="s">
        <v>129</v>
      </c>
    </row>
    <row r="4" spans="1:7">
      <c r="A4" s="4" t="s">
        <v>14</v>
      </c>
      <c r="B4" s="7">
        <v>2.3333333333333335</v>
      </c>
      <c r="C4" s="7">
        <v>17.280514841003029</v>
      </c>
    </row>
    <row r="5" spans="1:7">
      <c r="A5" s="4" t="s">
        <v>20</v>
      </c>
      <c r="B5" s="7">
        <v>2.1428571428571428</v>
      </c>
      <c r="C5" s="7">
        <v>16.371172019628016</v>
      </c>
    </row>
    <row r="6" spans="1:7">
      <c r="A6" s="4" t="s">
        <v>24</v>
      </c>
      <c r="B6" s="7">
        <v>2</v>
      </c>
      <c r="C6" s="7">
        <v>16.789441132947946</v>
      </c>
    </row>
    <row r="7" spans="1:7">
      <c r="A7" s="4" t="s">
        <v>12</v>
      </c>
      <c r="B7" s="7">
        <v>2.5</v>
      </c>
      <c r="C7" s="7">
        <v>17.188810268120474</v>
      </c>
    </row>
    <row r="8" spans="1:7">
      <c r="A8" s="4" t="s">
        <v>27</v>
      </c>
      <c r="B8" s="7">
        <v>1.5833333333333333</v>
      </c>
      <c r="C8" s="7">
        <v>17.912368815419139</v>
      </c>
    </row>
    <row r="9" spans="1:7">
      <c r="A9" s="4" t="s">
        <v>121</v>
      </c>
      <c r="B9" s="7">
        <v>2.19</v>
      </c>
      <c r="C9" s="7">
        <v>17.058049606125373</v>
      </c>
    </row>
  </sheetData>
  <mergeCells count="1">
    <mergeCell ref="C1:G1"/>
  </mergeCells>
  <conditionalFormatting sqref="A3:C3 A4:A9">
    <cfRule type="colorScale" priority="3">
      <colorScale>
        <cfvo type="min"/>
        <cfvo type="max"/>
        <color rgb="FFFF7128"/>
        <color rgb="FFFFEF9C"/>
      </colorScale>
    </cfRule>
    <cfRule type="colorScale" priority="2">
      <colorScale>
        <cfvo type="min"/>
        <cfvo type="max"/>
        <color rgb="FFFFC000"/>
        <color rgb="FFFF0000"/>
      </colorScale>
    </cfRule>
    <cfRule type="colorScale" priority="1">
      <colorScale>
        <cfvo type="min"/>
        <cfvo type="max"/>
        <color rgb="FFFF7128"/>
        <color rgb="FF92D050"/>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8F69C-DE3D-40C7-B237-35B18ADFF4BE}">
  <dimension ref="A1"/>
  <sheetViews>
    <sheetView workbookViewId="0">
      <selection activeCell="C13" sqref="C13"/>
    </sheetView>
  </sheetViews>
  <sheetFormatPr defaultRowHeight="14.4"/>
  <cols>
    <col min="1" max="1" width="12.44140625" bestFit="1" customWidth="1"/>
    <col min="2" max="2" width="13.109375" bestFit="1" customWidth="1"/>
    <col min="3" max="35" width="3" bestFit="1" customWidth="1"/>
    <col min="36" max="36" width="10.554687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F75E0EA-8773-4681-A0D3-A3E948A2DD1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Child_Health_data</vt:lpstr>
      <vt:lpstr>Child_Health_data (2)</vt:lpstr>
      <vt:lpstr>Health_Status_Age_group</vt:lpstr>
      <vt:lpstr>Nutrient_BMI</vt:lpstr>
      <vt:lpstr>Correlation_Sugar_Screen</vt:lpstr>
      <vt:lpstr>Regional_Differences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kranthi 99</dc:creator>
  <cp:lastModifiedBy>kranthi 99</cp:lastModifiedBy>
  <dcterms:created xsi:type="dcterms:W3CDTF">2025-09-13T10:47:39Z</dcterms:created>
  <dcterms:modified xsi:type="dcterms:W3CDTF">2025-09-13T18:21:11Z</dcterms:modified>
</cp:coreProperties>
</file>