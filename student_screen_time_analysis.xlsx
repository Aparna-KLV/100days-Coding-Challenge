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activeTab="5"/>
  </bookViews>
  <sheets>
    <sheet name="Cleaned_Data" sheetId="1" r:id="rId1"/>
    <sheet name="Summary" sheetId="2" r:id="rId2"/>
    <sheet name="Pivot_Score_by_Screen" sheetId="3" r:id="rId3"/>
    <sheet name="Pivot_Screen_vs_Extra" sheetId="4" r:id="rId4"/>
    <sheet name="Pivot_AgeGroup_Perf" sheetId="5" r:id="rId5"/>
    <sheet name="Dashboard" sheetId="6" r:id="rId6"/>
    <sheet name="Insigh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<sst xmlns="http://schemas.openxmlformats.org/spreadsheetml/2006/main" count="451" uniqueCount="32">
  <si>
    <t>Student_ID</t>
  </si>
  <si>
    <t>Age</t>
  </si>
  <si>
    <t>Study_Hours</t>
  </si>
  <si>
    <t>Screen_Time</t>
  </si>
  <si>
    <t>Test_Scores</t>
  </si>
  <si>
    <t>Extra_Curricular_Hours</t>
  </si>
  <si>
    <t>Age_imputed</t>
  </si>
  <si>
    <t>Study_Hours_imputed</t>
  </si>
  <si>
    <t>Screen_Time_imputed</t>
  </si>
  <si>
    <t>Test_Scores_imputed</t>
  </si>
  <si>
    <t>Extra_Curricular_Hours_imputed</t>
  </si>
  <si>
    <t>High_Screen</t>
  </si>
  <si>
    <t>Screen_Category</t>
  </si>
  <si>
    <t>Age_Group</t>
  </si>
  <si>
    <t>Moderate (2-4]</t>
  </si>
  <si>
    <t>Middle</t>
  </si>
  <si>
    <t>Older</t>
  </si>
  <si>
    <t>High (&gt;4)</t>
  </si>
  <si>
    <t>Low (&lt;=2)</t>
  </si>
  <si>
    <t>Younger</t>
  </si>
  <si>
    <t>Metric</t>
  </si>
  <si>
    <t>Average</t>
  </si>
  <si>
    <t>Median</t>
  </si>
  <si>
    <t>Min</t>
  </si>
  <si>
    <t>Max</t>
  </si>
  <si>
    <t>Count</t>
  </si>
  <si>
    <t>Avg_Test_Score</t>
  </si>
  <si>
    <t>INSIGHTS</t>
  </si>
  <si>
    <t>• Students with High screen time (&gt;4 hours) show lower average test scores compared to Low/Moderate groups.</t>
  </si>
  <si>
    <t>• Moderate screen time (2-4 hrs) has average test scores close to Low screen time, suggesting moderate use may not be harmful.</t>
  </si>
  <si>
    <t>• Extracurricular hours tend to be lower in the High screen time group - consider promoting balanced activities.</t>
  </si>
  <si>
    <t>• Age groups show variation in scores; targeted interventions by age group may be effective.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</si>
</sst>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419100</xdr:colOff>
      <xdr:row>6</xdr:row>
      <xdr:rowOff>152400</xdr:rowOff>
    </xdr:from>
    <xdr:to>
      <xdr:col>7</xdr:col>
      <xdr:colOff>144790</xdr:colOff>
      <xdr:row>24</xdr:row>
      <xdr:rowOff>22867</xdr:rowOff>
    </xdr:to>
    <xdr:pic>
      <xdr:nvPicPr>
        <xdr:cNvPr id="2" name="Picture 1" descr="chart_scatter_screen_vs_scor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100" y="1249680"/>
          <a:ext cx="4998720" cy="31623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</xdr:pic>
    <xdr:clientData/>
  </xdr:twoCellAnchor>
  <xdr:twoCellAnchor editAs="oneCell">
    <xdr:from>
      <xdr:col>8</xdr:col>
      <xdr:colOff>518160</xdr:colOff>
      <xdr:row>5</xdr:row>
      <xdr:rowOff>53340</xdr:rowOff>
    </xdr:from>
    <xdr:to>
      <xdr:col>16</xdr:col>
      <xdr:colOff>579130</xdr:colOff>
      <xdr:row>22</xdr:row>
      <xdr:rowOff>106687</xdr:rowOff>
    </xdr:to>
    <xdr:pic>
      <xdr:nvPicPr>
        <xdr:cNvPr id="3" name="Picture 2" descr="chart_bar_avgscore_by_category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08420" y="967740"/>
          <a:ext cx="4998720" cy="3162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1:N201" totalsRowShown="0">
  <autoFilter xmlns:etc="http://www.wps.cn/officeDocument/2017/etCustomData" ref="A1:N201" etc:filterBottomFollowUsedRange="0"/>
  <tableColumns count="14">
    <tableColumn id="1" name="Student_ID" dataDxfId="0"/>
    <tableColumn id="2" name="Age" dataDxfId="1"/>
    <tableColumn id="3" name="Study_Hours" dataDxfId="2"/>
    <tableColumn id="4" name="Screen_Time" dataDxfId="3"/>
    <tableColumn id="5" name="Test_Scores" dataDxfId="4"/>
    <tableColumn id="6" name="Extra_Curricular_Hours" dataDxfId="5"/>
    <tableColumn id="7" name="Age_imputed" dataDxfId="6"/>
    <tableColumn id="8" name="Study_Hours_imputed" dataDxfId="7"/>
    <tableColumn id="9" name="Screen_Time_imputed" dataDxfId="8"/>
    <tableColumn id="10" name="Test_Scores_imputed" dataDxfId="9"/>
    <tableColumn id="11" name="Extra_Curricular_Hours_imputed" dataDxfId="10"/>
    <tableColumn id="12" name="High_Screen" dataDxfId="11"/>
    <tableColumn id="13" name="Screen_Category" dataDxfId="12"/>
    <tableColumn id="14" name="Age_Group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3:F8" totalsRowShown="0">
  <autoFilter xmlns:etc="http://www.wps.cn/officeDocument/2017/etCustomData" ref="A3:F8" etc:filterBottomFollowUsedRange="0"/>
  <tableColumns count="6">
    <tableColumn id="1" name="Metric" dataDxfId="14"/>
    <tableColumn id="2" name="Age" dataDxfId="15"/>
    <tableColumn id="3" name="Study_Hours" dataDxfId="16"/>
    <tableColumn id="4" name="Screen_Time" dataDxfId="17"/>
    <tableColumn id="5" name="Test_Scores" dataDxfId="18"/>
    <tableColumn id="6" name="Extra_Curricular_Hours" dataDxf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workbookViewId="0">
      <selection activeCell="I1" sqref="I1"/>
    </sheetView>
  </sheetViews>
  <sheetFormatPr defaultColWidth="9" defaultRowHeight="14.4"/>
  <cols>
    <col min="1" max="1" width="17.2222222222222" customWidth="1"/>
    <col min="3" max="3" width="14.4444444444444" customWidth="1"/>
    <col min="4" max="4" width="14.1111111111111" customWidth="1"/>
    <col min="5" max="5" width="12.8888888888889" customWidth="1"/>
    <col min="6" max="6" width="12.6666666666667" customWidth="1"/>
    <col min="7" max="7" width="15.6666666666667" customWidth="1"/>
    <col min="8" max="8" width="13.8888888888889" customWidth="1"/>
    <col min="9" max="9" width="12.4444444444444" customWidth="1"/>
    <col min="10" max="10" width="11.8888888888889" customWidth="1"/>
    <col min="11" max="11" width="11.2222222222222" customWidth="1"/>
    <col min="12" max="12" width="12.8888888888889" customWidth="1"/>
    <col min="13" max="13" width="18.5555555555556" customWidth="1"/>
    <col min="14" max="14" width="17.6666666666667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11">
        <v>1</v>
      </c>
      <c r="B2" s="11">
        <v>16</v>
      </c>
      <c r="C2" s="11">
        <v>2.5</v>
      </c>
      <c r="D2" s="11">
        <v>2.7</v>
      </c>
      <c r="E2" s="11">
        <v>75</v>
      </c>
      <c r="F2" s="11">
        <v>1.6</v>
      </c>
      <c r="G2" s="11" t="b">
        <v>0</v>
      </c>
      <c r="H2" s="11" t="b">
        <v>0</v>
      </c>
      <c r="I2" s="11" t="b">
        <v>0</v>
      </c>
      <c r="J2" s="11" t="b">
        <v>0</v>
      </c>
      <c r="K2" s="11" t="b">
        <v>0</v>
      </c>
      <c r="L2" s="11" t="b">
        <v>0</v>
      </c>
      <c r="M2" s="11" t="s">
        <v>14</v>
      </c>
      <c r="N2" s="11" t="s">
        <v>15</v>
      </c>
    </row>
    <row r="3" spans="1:14">
      <c r="A3" s="11">
        <v>2</v>
      </c>
      <c r="B3" s="11">
        <v>17</v>
      </c>
      <c r="C3" s="11">
        <v>2.7</v>
      </c>
      <c r="D3" s="11">
        <v>4</v>
      </c>
      <c r="E3" s="11">
        <v>68.1</v>
      </c>
      <c r="F3" s="11">
        <v>0.7</v>
      </c>
      <c r="G3" s="11" t="b">
        <v>0</v>
      </c>
      <c r="H3" s="11" t="b">
        <v>0</v>
      </c>
      <c r="I3" s="11" t="b">
        <v>0</v>
      </c>
      <c r="J3" s="11" t="b">
        <v>0</v>
      </c>
      <c r="K3" s="11" t="b">
        <v>0</v>
      </c>
      <c r="L3" s="11" t="b">
        <v>0</v>
      </c>
      <c r="M3" s="11" t="s">
        <v>14</v>
      </c>
      <c r="N3" s="11" t="s">
        <v>16</v>
      </c>
    </row>
    <row r="4" spans="1:14">
      <c r="A4" s="11">
        <v>3</v>
      </c>
      <c r="B4" s="11">
        <v>15</v>
      </c>
      <c r="C4" s="11">
        <v>3</v>
      </c>
      <c r="D4" s="11">
        <v>4.3</v>
      </c>
      <c r="E4" s="11">
        <v>67.9</v>
      </c>
      <c r="F4" s="11">
        <v>1.5</v>
      </c>
      <c r="G4" s="11" t="b">
        <v>0</v>
      </c>
      <c r="H4" s="11" t="b">
        <v>0</v>
      </c>
      <c r="I4" s="11" t="b">
        <v>0</v>
      </c>
      <c r="J4" s="11" t="b">
        <v>0</v>
      </c>
      <c r="K4" s="11" t="b">
        <v>0</v>
      </c>
      <c r="L4" s="11" t="b">
        <v>1</v>
      </c>
      <c r="M4" s="11" t="s">
        <v>17</v>
      </c>
      <c r="N4" s="11" t="s">
        <v>15</v>
      </c>
    </row>
    <row r="5" spans="1:14">
      <c r="A5" s="11">
        <v>4</v>
      </c>
      <c r="B5" s="11">
        <v>17</v>
      </c>
      <c r="C5" s="11">
        <v>3</v>
      </c>
      <c r="D5" s="11">
        <v>2.8</v>
      </c>
      <c r="E5" s="11">
        <v>47.2</v>
      </c>
      <c r="F5" s="11">
        <v>1.8</v>
      </c>
      <c r="G5" s="11" t="b">
        <v>0</v>
      </c>
      <c r="H5" s="11" t="b">
        <v>0</v>
      </c>
      <c r="I5" s="11" t="b">
        <v>0</v>
      </c>
      <c r="J5" s="11" t="b">
        <v>0</v>
      </c>
      <c r="K5" s="11" t="b">
        <v>0</v>
      </c>
      <c r="L5" s="11" t="b">
        <v>0</v>
      </c>
      <c r="M5" s="11" t="s">
        <v>14</v>
      </c>
      <c r="N5" s="11" t="s">
        <v>16</v>
      </c>
    </row>
    <row r="6" spans="1:14">
      <c r="A6" s="11">
        <v>5</v>
      </c>
      <c r="B6" s="11">
        <v>17</v>
      </c>
      <c r="C6" s="11">
        <v>2.5</v>
      </c>
      <c r="D6" s="11">
        <v>1.8</v>
      </c>
      <c r="E6" s="11">
        <v>78</v>
      </c>
      <c r="F6" s="11">
        <v>1.4</v>
      </c>
      <c r="G6" s="11" t="b">
        <v>0</v>
      </c>
      <c r="H6" s="11" t="b">
        <v>1</v>
      </c>
      <c r="I6" s="11" t="b">
        <v>0</v>
      </c>
      <c r="J6" s="11" t="b">
        <v>0</v>
      </c>
      <c r="K6" s="11" t="b">
        <v>0</v>
      </c>
      <c r="L6" s="11" t="b">
        <v>0</v>
      </c>
      <c r="M6" s="11" t="s">
        <v>18</v>
      </c>
      <c r="N6" s="11" t="s">
        <v>16</v>
      </c>
    </row>
    <row r="7" spans="1:14">
      <c r="A7" s="11">
        <v>6</v>
      </c>
      <c r="B7" s="11">
        <v>14</v>
      </c>
      <c r="C7" s="11">
        <v>1.3</v>
      </c>
      <c r="D7" s="11">
        <v>4.4</v>
      </c>
      <c r="E7" s="11">
        <v>71.5</v>
      </c>
      <c r="F7" s="11">
        <v>0.4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1</v>
      </c>
      <c r="M7" s="11" t="s">
        <v>17</v>
      </c>
      <c r="N7" s="11" t="s">
        <v>19</v>
      </c>
    </row>
    <row r="8" spans="1:14">
      <c r="A8" s="11">
        <v>7</v>
      </c>
      <c r="B8" s="11">
        <v>15</v>
      </c>
      <c r="C8" s="11">
        <v>3.3</v>
      </c>
      <c r="D8" s="11">
        <v>6.7</v>
      </c>
      <c r="E8" s="11">
        <v>88</v>
      </c>
      <c r="F8" s="11">
        <v>2.9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1</v>
      </c>
      <c r="M8" s="11" t="s">
        <v>17</v>
      </c>
      <c r="N8" s="11" t="s">
        <v>15</v>
      </c>
    </row>
    <row r="9" spans="1:14">
      <c r="A9" s="11">
        <v>8</v>
      </c>
      <c r="B9" s="11">
        <v>15</v>
      </c>
      <c r="C9" s="11">
        <v>2.9</v>
      </c>
      <c r="D9" s="11">
        <v>4.6</v>
      </c>
      <c r="E9" s="11">
        <v>69.3</v>
      </c>
      <c r="F9" s="11">
        <v>1.6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1</v>
      </c>
      <c r="M9" s="11" t="s">
        <v>17</v>
      </c>
      <c r="N9" s="11" t="s">
        <v>15</v>
      </c>
    </row>
    <row r="10" spans="1:14">
      <c r="A10" s="11">
        <v>9</v>
      </c>
      <c r="B10" s="11">
        <v>15</v>
      </c>
      <c r="C10" s="11">
        <v>1.4</v>
      </c>
      <c r="D10" s="11">
        <v>4.1</v>
      </c>
      <c r="E10" s="11">
        <v>75.7</v>
      </c>
      <c r="F10" s="11">
        <v>0.9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1</v>
      </c>
      <c r="M10" s="11" t="s">
        <v>17</v>
      </c>
      <c r="N10" s="11" t="s">
        <v>15</v>
      </c>
    </row>
    <row r="11" spans="1:14">
      <c r="A11" s="11">
        <v>10</v>
      </c>
      <c r="B11" s="11">
        <v>17</v>
      </c>
      <c r="C11" s="11">
        <v>1.8</v>
      </c>
      <c r="D11" s="11">
        <v>4.1</v>
      </c>
      <c r="E11" s="11">
        <v>78.3</v>
      </c>
      <c r="F11" s="11">
        <v>2.8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1</v>
      </c>
      <c r="M11" s="11" t="s">
        <v>17</v>
      </c>
      <c r="N11" s="11" t="s">
        <v>16</v>
      </c>
    </row>
    <row r="12" spans="1:14">
      <c r="A12" s="11">
        <v>11</v>
      </c>
      <c r="B12" s="11">
        <v>16</v>
      </c>
      <c r="C12" s="11">
        <v>3.4</v>
      </c>
      <c r="D12" s="11">
        <v>3.6</v>
      </c>
      <c r="E12" s="11">
        <v>52.5</v>
      </c>
      <c r="F12" s="11">
        <v>2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s">
        <v>14</v>
      </c>
      <c r="N12" s="11" t="s">
        <v>15</v>
      </c>
    </row>
    <row r="13" spans="1:14">
      <c r="A13" s="11">
        <v>12</v>
      </c>
      <c r="B13" s="11">
        <v>15</v>
      </c>
      <c r="C13" s="11">
        <v>3.1</v>
      </c>
      <c r="D13" s="11">
        <v>5.8</v>
      </c>
      <c r="E13" s="11">
        <v>96.2</v>
      </c>
      <c r="F13" s="11">
        <v>0.5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1</v>
      </c>
      <c r="M13" s="11" t="s">
        <v>17</v>
      </c>
      <c r="N13" s="11" t="s">
        <v>15</v>
      </c>
    </row>
    <row r="14" spans="1:14">
      <c r="A14" s="11">
        <v>13</v>
      </c>
      <c r="B14" s="11">
        <v>17</v>
      </c>
      <c r="C14" s="11">
        <v>1.8</v>
      </c>
      <c r="D14" s="11">
        <v>4.1</v>
      </c>
      <c r="E14" s="11">
        <v>65.7</v>
      </c>
      <c r="F14" s="11">
        <v>0.7</v>
      </c>
      <c r="G14" s="11" t="b">
        <v>0</v>
      </c>
      <c r="H14" s="11" t="b">
        <v>0</v>
      </c>
      <c r="I14" s="11" t="b">
        <v>1</v>
      </c>
      <c r="J14" s="11" t="b">
        <v>0</v>
      </c>
      <c r="K14" s="11" t="b">
        <v>0</v>
      </c>
      <c r="L14" s="11" t="b">
        <v>1</v>
      </c>
      <c r="M14" s="11" t="s">
        <v>17</v>
      </c>
      <c r="N14" s="11" t="s">
        <v>16</v>
      </c>
    </row>
    <row r="15" spans="1:14">
      <c r="A15" s="11">
        <v>14</v>
      </c>
      <c r="B15" s="11">
        <v>14</v>
      </c>
      <c r="C15" s="11">
        <v>2.2</v>
      </c>
      <c r="D15" s="11">
        <v>2</v>
      </c>
      <c r="E15" s="11">
        <v>74.9</v>
      </c>
      <c r="F15" s="11">
        <v>1.3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s">
        <v>18</v>
      </c>
      <c r="N15" s="11" t="s">
        <v>19</v>
      </c>
    </row>
    <row r="16" spans="1:14">
      <c r="A16" s="11">
        <v>15</v>
      </c>
      <c r="B16" s="11">
        <v>16</v>
      </c>
      <c r="C16" s="11">
        <v>2.4</v>
      </c>
      <c r="D16" s="11">
        <v>1.6</v>
      </c>
      <c r="E16" s="11">
        <v>76.4</v>
      </c>
      <c r="F16" s="11">
        <v>1.7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s">
        <v>18</v>
      </c>
      <c r="N16" s="11" t="s">
        <v>15</v>
      </c>
    </row>
    <row r="17" spans="1:14">
      <c r="A17" s="11">
        <v>16</v>
      </c>
      <c r="B17" s="11">
        <v>14</v>
      </c>
      <c r="C17" s="11">
        <v>3.1</v>
      </c>
      <c r="D17" s="11">
        <v>4.1</v>
      </c>
      <c r="E17" s="11">
        <v>61.9</v>
      </c>
      <c r="F17" s="11">
        <v>2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1</v>
      </c>
      <c r="M17" s="11" t="s">
        <v>17</v>
      </c>
      <c r="N17" s="11" t="s">
        <v>19</v>
      </c>
    </row>
    <row r="18" spans="1:14">
      <c r="A18" s="11">
        <v>17</v>
      </c>
      <c r="B18" s="11">
        <v>16</v>
      </c>
      <c r="C18" s="11">
        <v>3.7</v>
      </c>
      <c r="D18" s="11">
        <v>5.6</v>
      </c>
      <c r="E18" s="11">
        <v>88.5</v>
      </c>
      <c r="F18" s="11">
        <v>2.3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1</v>
      </c>
      <c r="M18" s="11" t="s">
        <v>17</v>
      </c>
      <c r="N18" s="11" t="s">
        <v>15</v>
      </c>
    </row>
    <row r="19" spans="1:14">
      <c r="A19" s="11">
        <v>18</v>
      </c>
      <c r="B19" s="11">
        <v>17</v>
      </c>
      <c r="C19" s="11">
        <v>2.6</v>
      </c>
      <c r="D19" s="11">
        <v>4.4</v>
      </c>
      <c r="E19" s="11">
        <v>72.7</v>
      </c>
      <c r="F19" s="11">
        <v>1.9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1</v>
      </c>
      <c r="M19" s="11" t="s">
        <v>17</v>
      </c>
      <c r="N19" s="11" t="s">
        <v>16</v>
      </c>
    </row>
    <row r="20" spans="1:14">
      <c r="A20" s="11">
        <v>19</v>
      </c>
      <c r="B20" s="11">
        <v>13</v>
      </c>
      <c r="C20" s="11">
        <v>2.5</v>
      </c>
      <c r="D20" s="11">
        <v>3.5</v>
      </c>
      <c r="E20" s="11">
        <v>67.9</v>
      </c>
      <c r="F20" s="11">
        <v>2.6</v>
      </c>
      <c r="G20" s="11" t="b">
        <v>0</v>
      </c>
      <c r="H20" s="11" t="b">
        <v>1</v>
      </c>
      <c r="I20" s="11" t="b">
        <v>0</v>
      </c>
      <c r="J20" s="11" t="b">
        <v>0</v>
      </c>
      <c r="K20" s="11" t="b">
        <v>0</v>
      </c>
      <c r="L20" s="11" t="b">
        <v>0</v>
      </c>
      <c r="M20" s="11" t="s">
        <v>14</v>
      </c>
      <c r="N20" s="11" t="s">
        <v>19</v>
      </c>
    </row>
    <row r="21" spans="1:14">
      <c r="A21" s="11">
        <v>20</v>
      </c>
      <c r="B21" s="11">
        <v>16</v>
      </c>
      <c r="C21" s="11">
        <v>3.4</v>
      </c>
      <c r="D21" s="11">
        <v>4.7</v>
      </c>
      <c r="E21" s="11">
        <v>71.4</v>
      </c>
      <c r="F21" s="11">
        <v>1.6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1</v>
      </c>
      <c r="M21" s="11" t="s">
        <v>17</v>
      </c>
      <c r="N21" s="11" t="s">
        <v>15</v>
      </c>
    </row>
    <row r="22" spans="1:14">
      <c r="A22" s="11">
        <v>21</v>
      </c>
      <c r="B22" s="11">
        <v>14</v>
      </c>
      <c r="C22" s="11">
        <v>2.7</v>
      </c>
      <c r="D22" s="11">
        <v>4.3</v>
      </c>
      <c r="E22" s="11">
        <v>77.6</v>
      </c>
      <c r="F22" s="11">
        <v>0.9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1</v>
      </c>
      <c r="M22" s="11" t="s">
        <v>17</v>
      </c>
      <c r="N22" s="11" t="s">
        <v>19</v>
      </c>
    </row>
    <row r="23" spans="1:14">
      <c r="A23" s="11">
        <v>22</v>
      </c>
      <c r="B23" s="11">
        <v>17</v>
      </c>
      <c r="C23" s="11">
        <v>1.1</v>
      </c>
      <c r="D23" s="11">
        <v>5.2</v>
      </c>
      <c r="E23" s="11">
        <v>70.1</v>
      </c>
      <c r="F23" s="11">
        <v>1.5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1</v>
      </c>
      <c r="M23" s="11" t="s">
        <v>17</v>
      </c>
      <c r="N23" s="11" t="s">
        <v>16</v>
      </c>
    </row>
    <row r="24" spans="1:14">
      <c r="A24" s="11">
        <v>23</v>
      </c>
      <c r="B24" s="11">
        <v>16</v>
      </c>
      <c r="C24" s="11">
        <v>1.5</v>
      </c>
      <c r="D24" s="11">
        <v>6</v>
      </c>
      <c r="E24" s="11">
        <v>78.8</v>
      </c>
      <c r="F24" s="11">
        <v>1.4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1</v>
      </c>
      <c r="M24" s="11" t="s">
        <v>17</v>
      </c>
      <c r="N24" s="11" t="s">
        <v>15</v>
      </c>
    </row>
    <row r="25" spans="1:14">
      <c r="A25" s="11">
        <v>24</v>
      </c>
      <c r="B25" s="11">
        <v>13</v>
      </c>
      <c r="C25" s="11">
        <v>3.2</v>
      </c>
      <c r="D25" s="11">
        <v>2.6</v>
      </c>
      <c r="E25" s="11">
        <v>53.2</v>
      </c>
      <c r="F25" s="11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s">
        <v>14</v>
      </c>
      <c r="N25" s="11" t="s">
        <v>19</v>
      </c>
    </row>
    <row r="26" spans="1:14">
      <c r="A26" s="11">
        <v>25</v>
      </c>
      <c r="B26" s="11">
        <v>13</v>
      </c>
      <c r="C26" s="11">
        <v>0.8</v>
      </c>
      <c r="D26" s="11">
        <v>0.5</v>
      </c>
      <c r="E26" s="11">
        <v>62.5</v>
      </c>
      <c r="F26" s="11">
        <v>1.1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s">
        <v>18</v>
      </c>
      <c r="N26" s="11" t="s">
        <v>19</v>
      </c>
    </row>
    <row r="27" spans="1:14">
      <c r="A27" s="11">
        <v>26</v>
      </c>
      <c r="B27" s="11">
        <v>15</v>
      </c>
      <c r="C27" s="11">
        <v>2.6</v>
      </c>
      <c r="D27" s="11">
        <v>3.5</v>
      </c>
      <c r="E27" s="11">
        <v>48.6</v>
      </c>
      <c r="F27" s="11">
        <v>1.8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s">
        <v>14</v>
      </c>
      <c r="N27" s="11" t="s">
        <v>15</v>
      </c>
    </row>
    <row r="28" spans="1:14">
      <c r="A28" s="11">
        <v>27</v>
      </c>
      <c r="B28" s="11">
        <v>15</v>
      </c>
      <c r="C28" s="11">
        <v>3.5</v>
      </c>
      <c r="D28" s="11">
        <v>2.5</v>
      </c>
      <c r="E28" s="11">
        <v>90</v>
      </c>
      <c r="F28" s="11">
        <v>1.2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s">
        <v>14</v>
      </c>
      <c r="N28" s="11" t="s">
        <v>15</v>
      </c>
    </row>
    <row r="29" spans="1:14">
      <c r="A29" s="11">
        <v>28</v>
      </c>
      <c r="B29" s="11">
        <v>14</v>
      </c>
      <c r="C29" s="11">
        <v>2.7</v>
      </c>
      <c r="D29" s="11">
        <v>5.2</v>
      </c>
      <c r="E29" s="11">
        <v>89.8</v>
      </c>
      <c r="F29" s="11">
        <v>1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1</v>
      </c>
      <c r="M29" s="11" t="s">
        <v>17</v>
      </c>
      <c r="N29" s="11" t="s">
        <v>19</v>
      </c>
    </row>
    <row r="30" spans="1:14">
      <c r="A30" s="11">
        <v>29</v>
      </c>
      <c r="B30" s="11">
        <v>16</v>
      </c>
      <c r="C30" s="11">
        <v>1.9</v>
      </c>
      <c r="D30" s="11">
        <v>2.9</v>
      </c>
      <c r="E30" s="11">
        <v>76.3</v>
      </c>
      <c r="F30" s="11">
        <v>2.2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s">
        <v>14</v>
      </c>
      <c r="N30" s="11" t="s">
        <v>15</v>
      </c>
    </row>
    <row r="31" spans="1:14">
      <c r="A31" s="11">
        <v>30</v>
      </c>
      <c r="B31" s="11">
        <v>16</v>
      </c>
      <c r="C31" s="11">
        <v>1.7</v>
      </c>
      <c r="D31" s="11">
        <v>1.2</v>
      </c>
      <c r="E31" s="11">
        <v>59.9</v>
      </c>
      <c r="F31" s="11">
        <v>0.8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s">
        <v>18</v>
      </c>
      <c r="N31" s="11" t="s">
        <v>15</v>
      </c>
    </row>
    <row r="32" spans="1:14">
      <c r="A32" s="11">
        <v>31</v>
      </c>
      <c r="B32" s="11">
        <v>15</v>
      </c>
      <c r="C32" s="11">
        <v>3.3</v>
      </c>
      <c r="D32" s="11">
        <v>3.1</v>
      </c>
      <c r="E32" s="11">
        <v>93.9</v>
      </c>
      <c r="F32" s="11">
        <v>2.1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s">
        <v>14</v>
      </c>
      <c r="N32" s="11" t="s">
        <v>15</v>
      </c>
    </row>
    <row r="33" spans="1:14">
      <c r="A33" s="11">
        <v>32</v>
      </c>
      <c r="B33" s="11">
        <v>16</v>
      </c>
      <c r="C33" s="11">
        <v>3</v>
      </c>
      <c r="D33" s="11">
        <v>1.8</v>
      </c>
      <c r="E33" s="11">
        <v>64</v>
      </c>
      <c r="F33" s="11">
        <v>0.4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s">
        <v>18</v>
      </c>
      <c r="N33" s="11" t="s">
        <v>15</v>
      </c>
    </row>
    <row r="34" spans="1:14">
      <c r="A34" s="11">
        <v>33</v>
      </c>
      <c r="B34" s="11">
        <v>16</v>
      </c>
      <c r="C34" s="11">
        <v>2.2</v>
      </c>
      <c r="D34" s="11">
        <v>6.4</v>
      </c>
      <c r="E34" s="11">
        <v>67.9</v>
      </c>
      <c r="F34" s="11">
        <v>3.7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1</v>
      </c>
      <c r="M34" s="11" t="s">
        <v>17</v>
      </c>
      <c r="N34" s="11" t="s">
        <v>15</v>
      </c>
    </row>
    <row r="35" spans="1:14">
      <c r="A35" s="11">
        <v>34</v>
      </c>
      <c r="B35" s="11">
        <v>13</v>
      </c>
      <c r="C35" s="11">
        <v>3.6</v>
      </c>
      <c r="D35" s="11">
        <v>4.7</v>
      </c>
      <c r="E35" s="11">
        <v>71.6</v>
      </c>
      <c r="F35" s="11">
        <v>1.3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1</v>
      </c>
      <c r="M35" s="11" t="s">
        <v>17</v>
      </c>
      <c r="N35" s="11" t="s">
        <v>19</v>
      </c>
    </row>
    <row r="36" spans="1:14">
      <c r="A36" s="11">
        <v>35</v>
      </c>
      <c r="B36" s="11">
        <v>15</v>
      </c>
      <c r="C36" s="11">
        <v>3.4</v>
      </c>
      <c r="D36" s="11">
        <v>5</v>
      </c>
      <c r="E36" s="11">
        <v>74.5</v>
      </c>
      <c r="F36" s="11">
        <v>1.2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1</v>
      </c>
      <c r="M36" s="11" t="s">
        <v>17</v>
      </c>
      <c r="N36" s="11" t="s">
        <v>15</v>
      </c>
    </row>
    <row r="37" spans="1:14">
      <c r="A37" s="11">
        <v>36</v>
      </c>
      <c r="B37" s="11">
        <v>17</v>
      </c>
      <c r="C37" s="11">
        <v>4.3</v>
      </c>
      <c r="D37" s="11">
        <v>4.8</v>
      </c>
      <c r="E37" s="11">
        <v>76.4</v>
      </c>
      <c r="F37" s="11">
        <v>2.4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1</v>
      </c>
      <c r="M37" s="11" t="s">
        <v>17</v>
      </c>
      <c r="N37" s="11" t="s">
        <v>16</v>
      </c>
    </row>
    <row r="38" spans="1:14">
      <c r="A38" s="11">
        <v>37</v>
      </c>
      <c r="B38" s="11">
        <v>15</v>
      </c>
      <c r="C38" s="11">
        <v>3.1</v>
      </c>
      <c r="D38" s="11">
        <v>5.3</v>
      </c>
      <c r="E38" s="11">
        <v>76.8</v>
      </c>
      <c r="F38" s="11">
        <v>1.2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1</v>
      </c>
      <c r="M38" s="11" t="s">
        <v>17</v>
      </c>
      <c r="N38" s="11" t="s">
        <v>15</v>
      </c>
    </row>
    <row r="39" spans="1:14">
      <c r="A39" s="11">
        <v>38</v>
      </c>
      <c r="B39" s="11">
        <v>17</v>
      </c>
      <c r="C39" s="11">
        <v>2.3</v>
      </c>
      <c r="D39" s="11">
        <v>5.7</v>
      </c>
      <c r="E39" s="11">
        <v>71.55</v>
      </c>
      <c r="F39" s="11">
        <v>2.7</v>
      </c>
      <c r="G39" s="11" t="b">
        <v>0</v>
      </c>
      <c r="H39" s="11" t="b">
        <v>0</v>
      </c>
      <c r="I39" s="11" t="b">
        <v>0</v>
      </c>
      <c r="J39" s="11" t="b">
        <v>1</v>
      </c>
      <c r="K39" s="11" t="b">
        <v>0</v>
      </c>
      <c r="L39" s="11" t="b">
        <v>1</v>
      </c>
      <c r="M39" s="11" t="s">
        <v>17</v>
      </c>
      <c r="N39" s="11" t="s">
        <v>16</v>
      </c>
    </row>
    <row r="40" spans="1:14">
      <c r="A40" s="11">
        <v>39</v>
      </c>
      <c r="B40" s="11">
        <v>13</v>
      </c>
      <c r="C40" s="11">
        <v>2.4</v>
      </c>
      <c r="D40" s="11">
        <v>3.2</v>
      </c>
      <c r="E40" s="11">
        <v>76.7</v>
      </c>
      <c r="F40" s="11">
        <v>1.8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s">
        <v>14</v>
      </c>
      <c r="N40" s="11" t="s">
        <v>19</v>
      </c>
    </row>
    <row r="41" spans="1:14">
      <c r="A41" s="11">
        <v>40</v>
      </c>
      <c r="B41" s="11">
        <v>14</v>
      </c>
      <c r="C41" s="11">
        <v>0.6</v>
      </c>
      <c r="D41" s="11">
        <v>1.9</v>
      </c>
      <c r="E41" s="11">
        <v>71.55</v>
      </c>
      <c r="F41" s="11">
        <v>1.4</v>
      </c>
      <c r="G41" s="11" t="b">
        <v>0</v>
      </c>
      <c r="H41" s="11" t="b">
        <v>0</v>
      </c>
      <c r="I41" s="11" t="b">
        <v>0</v>
      </c>
      <c r="J41" s="11" t="b">
        <v>1</v>
      </c>
      <c r="K41" s="11" t="b">
        <v>0</v>
      </c>
      <c r="L41" s="11" t="b">
        <v>0</v>
      </c>
      <c r="M41" s="11" t="s">
        <v>18</v>
      </c>
      <c r="N41" s="11" t="s">
        <v>19</v>
      </c>
    </row>
    <row r="42" spans="1:14">
      <c r="A42" s="11">
        <v>41</v>
      </c>
      <c r="B42" s="11">
        <v>16</v>
      </c>
      <c r="C42" s="11">
        <v>2.7</v>
      </c>
      <c r="D42" s="11">
        <v>2.7</v>
      </c>
      <c r="E42" s="11">
        <v>75.8</v>
      </c>
      <c r="F42" s="11">
        <v>1.3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s">
        <v>14</v>
      </c>
      <c r="N42" s="11" t="s">
        <v>15</v>
      </c>
    </row>
    <row r="43" spans="1:14">
      <c r="A43" s="11">
        <v>42</v>
      </c>
      <c r="B43" s="11">
        <v>13</v>
      </c>
      <c r="C43" s="11">
        <v>2.5</v>
      </c>
      <c r="D43" s="11">
        <v>3.9</v>
      </c>
      <c r="E43" s="11">
        <v>75</v>
      </c>
      <c r="F43" s="11">
        <v>2.5</v>
      </c>
      <c r="G43" s="11" t="b">
        <v>0</v>
      </c>
      <c r="H43" s="11" t="b">
        <v>1</v>
      </c>
      <c r="I43" s="11" t="b">
        <v>0</v>
      </c>
      <c r="J43" s="11" t="b">
        <v>0</v>
      </c>
      <c r="K43" s="11" t="b">
        <v>0</v>
      </c>
      <c r="L43" s="11" t="b">
        <v>0</v>
      </c>
      <c r="M43" s="11" t="s">
        <v>14</v>
      </c>
      <c r="N43" s="11" t="s">
        <v>19</v>
      </c>
    </row>
    <row r="44" spans="1:14">
      <c r="A44" s="11">
        <v>43</v>
      </c>
      <c r="B44" s="11">
        <v>16</v>
      </c>
      <c r="C44" s="11">
        <v>1.2</v>
      </c>
      <c r="D44" s="11">
        <v>0.2</v>
      </c>
      <c r="E44" s="11">
        <v>77.6</v>
      </c>
      <c r="F44" s="11">
        <v>1.7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s">
        <v>18</v>
      </c>
      <c r="N44" s="11" t="s">
        <v>15</v>
      </c>
    </row>
    <row r="45" spans="1:14">
      <c r="A45" s="11">
        <v>44</v>
      </c>
      <c r="B45" s="11">
        <v>14</v>
      </c>
      <c r="C45" s="11">
        <v>2.5</v>
      </c>
      <c r="D45" s="11">
        <v>5.7</v>
      </c>
      <c r="E45" s="11">
        <v>76.4</v>
      </c>
      <c r="F45" s="11">
        <v>1.8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1</v>
      </c>
      <c r="M45" s="11" t="s">
        <v>17</v>
      </c>
      <c r="N45" s="11" t="s">
        <v>19</v>
      </c>
    </row>
    <row r="46" spans="1:14">
      <c r="A46" s="11">
        <v>45</v>
      </c>
      <c r="B46" s="11">
        <v>14</v>
      </c>
      <c r="C46" s="11">
        <v>3.8</v>
      </c>
      <c r="D46" s="11">
        <v>1.2</v>
      </c>
      <c r="E46" s="11">
        <v>65.6</v>
      </c>
      <c r="F46" s="11">
        <v>1.9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s">
        <v>18</v>
      </c>
      <c r="N46" s="11" t="s">
        <v>19</v>
      </c>
    </row>
    <row r="47" spans="1:14">
      <c r="A47" s="11">
        <v>46</v>
      </c>
      <c r="B47" s="11">
        <v>13</v>
      </c>
      <c r="C47" s="11">
        <v>1.8</v>
      </c>
      <c r="D47" s="11">
        <v>4.9</v>
      </c>
      <c r="E47" s="11">
        <v>74.6</v>
      </c>
      <c r="F47" s="11">
        <v>1.6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1</v>
      </c>
      <c r="M47" s="11" t="s">
        <v>17</v>
      </c>
      <c r="N47" s="11" t="s">
        <v>19</v>
      </c>
    </row>
    <row r="48" spans="1:14">
      <c r="A48" s="11">
        <v>47</v>
      </c>
      <c r="B48" s="11">
        <v>14</v>
      </c>
      <c r="C48" s="11">
        <v>1.5</v>
      </c>
      <c r="D48" s="11">
        <v>3.7</v>
      </c>
      <c r="E48" s="11">
        <v>76.5</v>
      </c>
      <c r="F48" s="11">
        <v>1.9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s">
        <v>14</v>
      </c>
      <c r="N48" s="11" t="s">
        <v>19</v>
      </c>
    </row>
    <row r="49" spans="1:14">
      <c r="A49" s="11">
        <v>48</v>
      </c>
      <c r="B49" s="11">
        <v>17</v>
      </c>
      <c r="C49" s="11">
        <v>3.6</v>
      </c>
      <c r="D49" s="11">
        <v>4.4</v>
      </c>
      <c r="E49" s="11">
        <v>57.1</v>
      </c>
      <c r="F49" s="11">
        <v>1.4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1</v>
      </c>
      <c r="M49" s="11" t="s">
        <v>17</v>
      </c>
      <c r="N49" s="11" t="s">
        <v>16</v>
      </c>
    </row>
    <row r="50" spans="1:14">
      <c r="A50" s="11">
        <v>49</v>
      </c>
      <c r="B50" s="11">
        <v>14</v>
      </c>
      <c r="C50" s="11">
        <v>3.1</v>
      </c>
      <c r="D50" s="11">
        <v>3.3</v>
      </c>
      <c r="E50" s="11">
        <v>67.3</v>
      </c>
      <c r="F50" s="11">
        <v>1.5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s">
        <v>14</v>
      </c>
      <c r="N50" s="11" t="s">
        <v>19</v>
      </c>
    </row>
    <row r="51" spans="1:14">
      <c r="A51" s="11">
        <v>50</v>
      </c>
      <c r="B51" s="11">
        <v>16</v>
      </c>
      <c r="C51" s="11">
        <v>5.6</v>
      </c>
      <c r="D51" s="11">
        <v>4.3</v>
      </c>
      <c r="E51" s="11">
        <v>76.1</v>
      </c>
      <c r="F51" s="11">
        <v>0.6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1</v>
      </c>
      <c r="M51" s="11" t="s">
        <v>17</v>
      </c>
      <c r="N51" s="11" t="s">
        <v>15</v>
      </c>
    </row>
    <row r="52" spans="1:14">
      <c r="A52" s="11">
        <v>51</v>
      </c>
      <c r="B52" s="11">
        <v>16</v>
      </c>
      <c r="C52" s="11">
        <v>1.2</v>
      </c>
      <c r="D52" s="11">
        <v>3.3</v>
      </c>
      <c r="E52" s="11">
        <v>87.1</v>
      </c>
      <c r="F52" s="11">
        <v>1.7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s">
        <v>14</v>
      </c>
      <c r="N52" s="11" t="s">
        <v>15</v>
      </c>
    </row>
    <row r="53" spans="1:14">
      <c r="A53" s="11">
        <v>52</v>
      </c>
      <c r="B53" s="11">
        <v>16</v>
      </c>
      <c r="C53" s="11">
        <v>3.2</v>
      </c>
      <c r="D53" s="11">
        <v>3.2</v>
      </c>
      <c r="E53" s="11">
        <v>78.2</v>
      </c>
      <c r="F53" s="11">
        <v>0.1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s">
        <v>14</v>
      </c>
      <c r="N53" s="11" t="s">
        <v>15</v>
      </c>
    </row>
    <row r="54" spans="1:14">
      <c r="A54" s="11">
        <v>53</v>
      </c>
      <c r="B54" s="11">
        <v>16</v>
      </c>
      <c r="C54" s="11">
        <v>2.8</v>
      </c>
      <c r="D54" s="11">
        <v>2.7</v>
      </c>
      <c r="E54" s="11">
        <v>87.7</v>
      </c>
      <c r="F54" s="11">
        <v>1.7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s">
        <v>14</v>
      </c>
      <c r="N54" s="11" t="s">
        <v>15</v>
      </c>
    </row>
    <row r="55" spans="1:14">
      <c r="A55" s="11">
        <v>54</v>
      </c>
      <c r="B55" s="11">
        <v>17</v>
      </c>
      <c r="C55" s="11">
        <v>2.6</v>
      </c>
      <c r="D55" s="11">
        <v>4.1</v>
      </c>
      <c r="E55" s="11">
        <v>66</v>
      </c>
      <c r="F55" s="11">
        <v>1.3</v>
      </c>
      <c r="G55" s="11" t="b">
        <v>0</v>
      </c>
      <c r="H55" s="11" t="b">
        <v>0</v>
      </c>
      <c r="I55" s="11" t="b">
        <v>1</v>
      </c>
      <c r="J55" s="11" t="b">
        <v>0</v>
      </c>
      <c r="K55" s="11" t="b">
        <v>0</v>
      </c>
      <c r="L55" s="11" t="b">
        <v>1</v>
      </c>
      <c r="M55" s="11" t="s">
        <v>17</v>
      </c>
      <c r="N55" s="11" t="s">
        <v>16</v>
      </c>
    </row>
    <row r="56" spans="1:14">
      <c r="A56" s="11">
        <v>55</v>
      </c>
      <c r="B56" s="11">
        <v>15</v>
      </c>
      <c r="C56" s="11">
        <v>3.4</v>
      </c>
      <c r="D56" s="11">
        <v>4.6</v>
      </c>
      <c r="E56" s="11">
        <v>72.5</v>
      </c>
      <c r="F56" s="11">
        <v>1.8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1</v>
      </c>
      <c r="M56" s="11" t="s">
        <v>17</v>
      </c>
      <c r="N56" s="11" t="s">
        <v>15</v>
      </c>
    </row>
    <row r="57" spans="1:14">
      <c r="A57" s="11">
        <v>56</v>
      </c>
      <c r="B57" s="11">
        <v>13</v>
      </c>
      <c r="C57" s="11">
        <v>2.5</v>
      </c>
      <c r="D57" s="11">
        <v>4.3</v>
      </c>
      <c r="E57" s="11">
        <v>78.1</v>
      </c>
      <c r="F57" s="11">
        <v>0.7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1</v>
      </c>
      <c r="M57" s="11" t="s">
        <v>17</v>
      </c>
      <c r="N57" s="11" t="s">
        <v>19</v>
      </c>
    </row>
    <row r="58" spans="1:14">
      <c r="A58" s="11">
        <v>57</v>
      </c>
      <c r="B58" s="11">
        <v>16</v>
      </c>
      <c r="C58" s="11">
        <v>0.6</v>
      </c>
      <c r="D58" s="11">
        <v>2.7</v>
      </c>
      <c r="E58" s="11">
        <v>46.7</v>
      </c>
      <c r="F58" s="11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s">
        <v>14</v>
      </c>
      <c r="N58" s="11" t="s">
        <v>15</v>
      </c>
    </row>
    <row r="59" spans="1:14">
      <c r="A59" s="11">
        <v>58</v>
      </c>
      <c r="B59" s="11">
        <v>14</v>
      </c>
      <c r="C59" s="11">
        <v>1.7</v>
      </c>
      <c r="D59" s="11">
        <v>3.6</v>
      </c>
      <c r="E59" s="11">
        <v>71.55</v>
      </c>
      <c r="F59" s="11">
        <v>1.2</v>
      </c>
      <c r="G59" s="11" t="b">
        <v>0</v>
      </c>
      <c r="H59" s="11" t="b">
        <v>0</v>
      </c>
      <c r="I59" s="11" t="b">
        <v>0</v>
      </c>
      <c r="J59" s="11" t="b">
        <v>1</v>
      </c>
      <c r="K59" s="11" t="b">
        <v>0</v>
      </c>
      <c r="L59" s="11" t="b">
        <v>0</v>
      </c>
      <c r="M59" s="11" t="s">
        <v>14</v>
      </c>
      <c r="N59" s="11" t="s">
        <v>19</v>
      </c>
    </row>
    <row r="60" spans="1:14">
      <c r="A60" s="11">
        <v>59</v>
      </c>
      <c r="B60" s="11">
        <v>16</v>
      </c>
      <c r="C60" s="11">
        <v>3.9</v>
      </c>
      <c r="D60" s="11">
        <v>2.5</v>
      </c>
      <c r="E60" s="11">
        <v>51.4</v>
      </c>
      <c r="F60" s="11">
        <v>0.7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s">
        <v>14</v>
      </c>
      <c r="N60" s="11" t="s">
        <v>15</v>
      </c>
    </row>
    <row r="61" spans="1:14">
      <c r="A61" s="11">
        <v>60</v>
      </c>
      <c r="B61" s="11">
        <v>14</v>
      </c>
      <c r="C61" s="11">
        <v>3.7</v>
      </c>
      <c r="D61" s="11">
        <v>3.3</v>
      </c>
      <c r="E61" s="11">
        <v>80</v>
      </c>
      <c r="F61" s="11">
        <v>0.1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s">
        <v>14</v>
      </c>
      <c r="N61" s="11" t="s">
        <v>19</v>
      </c>
    </row>
    <row r="62" spans="1:14">
      <c r="A62" s="11">
        <v>61</v>
      </c>
      <c r="B62" s="11">
        <v>14</v>
      </c>
      <c r="C62" s="11">
        <v>2.1</v>
      </c>
      <c r="D62" s="11">
        <v>2.2</v>
      </c>
      <c r="E62" s="11">
        <v>76.9</v>
      </c>
      <c r="F62" s="11">
        <v>2.1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s">
        <v>14</v>
      </c>
      <c r="N62" s="11" t="s">
        <v>19</v>
      </c>
    </row>
    <row r="63" spans="1:14">
      <c r="A63" s="11">
        <v>62</v>
      </c>
      <c r="B63" s="11">
        <v>16</v>
      </c>
      <c r="C63" s="11">
        <v>3</v>
      </c>
      <c r="D63" s="11">
        <v>6.4</v>
      </c>
      <c r="E63" s="11">
        <v>46.6</v>
      </c>
      <c r="F63" s="11">
        <v>2.8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1</v>
      </c>
      <c r="M63" s="11" t="s">
        <v>17</v>
      </c>
      <c r="N63" s="11" t="s">
        <v>15</v>
      </c>
    </row>
    <row r="64" spans="1:14">
      <c r="A64" s="11">
        <v>63</v>
      </c>
      <c r="B64" s="11">
        <v>17</v>
      </c>
      <c r="C64" s="11">
        <v>5.3</v>
      </c>
      <c r="D64" s="11">
        <v>4.1</v>
      </c>
      <c r="E64" s="11">
        <v>47.1</v>
      </c>
      <c r="F64" s="11">
        <v>0.9</v>
      </c>
      <c r="G64" s="11" t="b">
        <v>0</v>
      </c>
      <c r="H64" s="11" t="b">
        <v>0</v>
      </c>
      <c r="I64" s="11" t="b">
        <v>1</v>
      </c>
      <c r="J64" s="11" t="b">
        <v>0</v>
      </c>
      <c r="K64" s="11" t="b">
        <v>0</v>
      </c>
      <c r="L64" s="11" t="b">
        <v>1</v>
      </c>
      <c r="M64" s="11" t="s">
        <v>17</v>
      </c>
      <c r="N64" s="11" t="s">
        <v>16</v>
      </c>
    </row>
    <row r="65" spans="1:14">
      <c r="A65" s="11">
        <v>64</v>
      </c>
      <c r="B65" s="11">
        <v>14</v>
      </c>
      <c r="C65" s="11">
        <v>2.5</v>
      </c>
      <c r="D65" s="11">
        <v>2.7</v>
      </c>
      <c r="E65" s="11">
        <v>71.55</v>
      </c>
      <c r="F65" s="11">
        <v>1.4</v>
      </c>
      <c r="G65" s="11" t="b">
        <v>0</v>
      </c>
      <c r="H65" s="11" t="b">
        <v>0</v>
      </c>
      <c r="I65" s="11" t="b">
        <v>0</v>
      </c>
      <c r="J65" s="11" t="b">
        <v>1</v>
      </c>
      <c r="K65" s="11" t="b">
        <v>0</v>
      </c>
      <c r="L65" s="11" t="b">
        <v>0</v>
      </c>
      <c r="M65" s="11" t="s">
        <v>14</v>
      </c>
      <c r="N65" s="11" t="s">
        <v>19</v>
      </c>
    </row>
    <row r="66" spans="1:14">
      <c r="A66" s="11">
        <v>65</v>
      </c>
      <c r="B66" s="11">
        <v>14</v>
      </c>
      <c r="C66" s="11">
        <v>2.5</v>
      </c>
      <c r="D66" s="11">
        <v>2</v>
      </c>
      <c r="E66" s="11">
        <v>82.1</v>
      </c>
      <c r="F66" s="11">
        <v>1.3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s">
        <v>18</v>
      </c>
      <c r="N66" s="11" t="s">
        <v>19</v>
      </c>
    </row>
    <row r="67" spans="1:14">
      <c r="A67" s="11">
        <v>66</v>
      </c>
      <c r="B67" s="11">
        <v>16</v>
      </c>
      <c r="C67" s="11">
        <v>2.7</v>
      </c>
      <c r="D67" s="11">
        <v>2.8</v>
      </c>
      <c r="E67" s="11">
        <v>61.2</v>
      </c>
      <c r="F67" s="11">
        <v>1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s">
        <v>14</v>
      </c>
      <c r="N67" s="11" t="s">
        <v>15</v>
      </c>
    </row>
    <row r="68" spans="1:14">
      <c r="A68" s="11">
        <v>67</v>
      </c>
      <c r="B68" s="11">
        <v>14</v>
      </c>
      <c r="C68" s="11">
        <v>3.1</v>
      </c>
      <c r="D68" s="11">
        <v>3.3</v>
      </c>
      <c r="E68" s="11">
        <v>61.2</v>
      </c>
      <c r="F68" s="11">
        <v>2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s">
        <v>14</v>
      </c>
      <c r="N68" s="11" t="s">
        <v>19</v>
      </c>
    </row>
    <row r="69" spans="1:14">
      <c r="A69" s="11">
        <v>68</v>
      </c>
      <c r="B69" s="11">
        <v>14</v>
      </c>
      <c r="C69" s="11">
        <v>2.2</v>
      </c>
      <c r="D69" s="11">
        <v>3.9</v>
      </c>
      <c r="E69" s="11">
        <v>75.1</v>
      </c>
      <c r="F69" s="11">
        <v>2.3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s">
        <v>14</v>
      </c>
      <c r="N69" s="11" t="s">
        <v>19</v>
      </c>
    </row>
    <row r="70" spans="1:14">
      <c r="A70" s="11">
        <v>69</v>
      </c>
      <c r="B70" s="11">
        <v>16</v>
      </c>
      <c r="C70" s="11">
        <v>3.1</v>
      </c>
      <c r="D70" s="11">
        <v>3</v>
      </c>
      <c r="E70" s="11">
        <v>69.9</v>
      </c>
      <c r="F70" s="11">
        <v>0.8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s">
        <v>14</v>
      </c>
      <c r="N70" s="11" t="s">
        <v>15</v>
      </c>
    </row>
    <row r="71" spans="1:14">
      <c r="A71" s="11">
        <v>70</v>
      </c>
      <c r="B71" s="11">
        <v>16</v>
      </c>
      <c r="C71" s="11">
        <v>0.6</v>
      </c>
      <c r="D71" s="11">
        <v>1.6</v>
      </c>
      <c r="E71" s="11">
        <v>80.5</v>
      </c>
      <c r="F71" s="11">
        <v>1.5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s">
        <v>18</v>
      </c>
      <c r="N71" s="11" t="s">
        <v>15</v>
      </c>
    </row>
    <row r="72" spans="1:14">
      <c r="A72" s="11">
        <v>71</v>
      </c>
      <c r="B72" s="11">
        <v>13</v>
      </c>
      <c r="C72" s="11">
        <v>2.8</v>
      </c>
      <c r="D72" s="11">
        <v>1.7</v>
      </c>
      <c r="E72" s="11">
        <v>74.8</v>
      </c>
      <c r="F72" s="11">
        <v>2.5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s">
        <v>18</v>
      </c>
      <c r="N72" s="11" t="s">
        <v>19</v>
      </c>
    </row>
    <row r="73" spans="1:14">
      <c r="A73" s="11">
        <v>72</v>
      </c>
      <c r="B73" s="11">
        <v>17</v>
      </c>
      <c r="C73" s="11">
        <v>2.6</v>
      </c>
      <c r="D73" s="11">
        <v>5</v>
      </c>
      <c r="E73" s="11">
        <v>85.8</v>
      </c>
      <c r="F73" s="11">
        <v>2.1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1</v>
      </c>
      <c r="M73" s="11" t="s">
        <v>17</v>
      </c>
      <c r="N73" s="11" t="s">
        <v>16</v>
      </c>
    </row>
    <row r="74" spans="1:14">
      <c r="A74" s="11">
        <v>73</v>
      </c>
      <c r="B74" s="11">
        <v>17</v>
      </c>
      <c r="C74" s="11">
        <v>2.3</v>
      </c>
      <c r="D74" s="11">
        <v>3.8</v>
      </c>
      <c r="E74" s="11">
        <v>79.7</v>
      </c>
      <c r="F74" s="11">
        <v>2.2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s">
        <v>14</v>
      </c>
      <c r="N74" s="11" t="s">
        <v>16</v>
      </c>
    </row>
    <row r="75" spans="1:14">
      <c r="A75" s="11">
        <v>74</v>
      </c>
      <c r="B75" s="11">
        <v>14</v>
      </c>
      <c r="C75" s="11">
        <v>2</v>
      </c>
      <c r="D75" s="11">
        <v>5</v>
      </c>
      <c r="E75" s="11">
        <v>77.2</v>
      </c>
      <c r="F75" s="11">
        <v>2.6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1</v>
      </c>
      <c r="M75" s="11" t="s">
        <v>17</v>
      </c>
      <c r="N75" s="11" t="s">
        <v>19</v>
      </c>
    </row>
    <row r="76" spans="1:14">
      <c r="A76" s="11">
        <v>75</v>
      </c>
      <c r="B76" s="11">
        <v>17</v>
      </c>
      <c r="C76" s="11">
        <v>1.9</v>
      </c>
      <c r="D76" s="11">
        <v>5.2</v>
      </c>
      <c r="E76" s="11">
        <v>66.5</v>
      </c>
      <c r="F76" s="11">
        <v>2.6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1</v>
      </c>
      <c r="M76" s="11" t="s">
        <v>17</v>
      </c>
      <c r="N76" s="11" t="s">
        <v>16</v>
      </c>
    </row>
    <row r="77" spans="1:14">
      <c r="A77" s="11">
        <v>76</v>
      </c>
      <c r="B77" s="11">
        <v>14</v>
      </c>
      <c r="C77" s="11">
        <v>1.7</v>
      </c>
      <c r="D77" s="11">
        <v>4.2</v>
      </c>
      <c r="E77" s="11">
        <v>65.7</v>
      </c>
      <c r="F77" s="11">
        <v>2.3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1</v>
      </c>
      <c r="M77" s="11" t="s">
        <v>17</v>
      </c>
      <c r="N77" s="11" t="s">
        <v>19</v>
      </c>
    </row>
    <row r="78" spans="1:14">
      <c r="A78" s="11">
        <v>77</v>
      </c>
      <c r="B78" s="11">
        <v>13</v>
      </c>
      <c r="C78" s="11">
        <v>0.2</v>
      </c>
      <c r="D78" s="11">
        <v>2.2</v>
      </c>
      <c r="E78" s="11">
        <v>69.5</v>
      </c>
      <c r="F78" s="11">
        <v>1.6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s">
        <v>14</v>
      </c>
      <c r="N78" s="11" t="s">
        <v>19</v>
      </c>
    </row>
    <row r="79" spans="1:14">
      <c r="A79" s="11">
        <v>78</v>
      </c>
      <c r="B79" s="11">
        <v>16</v>
      </c>
      <c r="C79" s="11">
        <v>2.2</v>
      </c>
      <c r="D79" s="11">
        <v>4.3</v>
      </c>
      <c r="E79" s="11">
        <v>88.4</v>
      </c>
      <c r="F79" s="11">
        <v>1.2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1</v>
      </c>
      <c r="M79" s="11" t="s">
        <v>17</v>
      </c>
      <c r="N79" s="11" t="s">
        <v>15</v>
      </c>
    </row>
    <row r="80" spans="1:14">
      <c r="A80" s="11">
        <v>79</v>
      </c>
      <c r="B80" s="11">
        <v>16</v>
      </c>
      <c r="C80" s="11">
        <v>3.6</v>
      </c>
      <c r="D80" s="11">
        <v>6.1</v>
      </c>
      <c r="E80" s="11">
        <v>65.9</v>
      </c>
      <c r="F80" s="11">
        <v>1.6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1</v>
      </c>
      <c r="M80" s="11" t="s">
        <v>17</v>
      </c>
      <c r="N80" s="11" t="s">
        <v>15</v>
      </c>
    </row>
    <row r="81" spans="1:14">
      <c r="A81" s="11">
        <v>80</v>
      </c>
      <c r="B81" s="11">
        <v>16</v>
      </c>
      <c r="C81" s="11">
        <v>2.2</v>
      </c>
      <c r="D81" s="11">
        <v>3.3</v>
      </c>
      <c r="E81" s="11">
        <v>72.6</v>
      </c>
      <c r="F81" s="11">
        <v>1.1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s">
        <v>14</v>
      </c>
      <c r="N81" s="11" t="s">
        <v>15</v>
      </c>
    </row>
    <row r="82" spans="1:14">
      <c r="A82" s="11">
        <v>81</v>
      </c>
      <c r="B82" s="11">
        <v>17</v>
      </c>
      <c r="C82" s="11">
        <v>3.1</v>
      </c>
      <c r="D82" s="11">
        <v>4.5</v>
      </c>
      <c r="E82" s="11">
        <v>47.6</v>
      </c>
      <c r="F82" s="11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1</v>
      </c>
      <c r="M82" s="11" t="s">
        <v>17</v>
      </c>
      <c r="N82" s="11" t="s">
        <v>16</v>
      </c>
    </row>
    <row r="83" spans="1:14">
      <c r="A83" s="11">
        <v>82</v>
      </c>
      <c r="B83" s="11">
        <v>13</v>
      </c>
      <c r="C83" s="11">
        <v>1.4</v>
      </c>
      <c r="D83" s="11">
        <v>4</v>
      </c>
      <c r="E83" s="11">
        <v>76.8</v>
      </c>
      <c r="F83" s="11">
        <v>1.3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s">
        <v>14</v>
      </c>
      <c r="N83" s="11" t="s">
        <v>19</v>
      </c>
    </row>
    <row r="84" spans="1:14">
      <c r="A84" s="11">
        <v>83</v>
      </c>
      <c r="B84" s="11">
        <v>17</v>
      </c>
      <c r="C84" s="11">
        <v>1.2</v>
      </c>
      <c r="D84" s="11">
        <v>6.1</v>
      </c>
      <c r="E84" s="11">
        <v>92.6</v>
      </c>
      <c r="F84" s="11">
        <v>1.8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1</v>
      </c>
      <c r="M84" s="11" t="s">
        <v>17</v>
      </c>
      <c r="N84" s="11" t="s">
        <v>16</v>
      </c>
    </row>
    <row r="85" spans="1:14">
      <c r="A85" s="11">
        <v>84</v>
      </c>
      <c r="B85" s="11">
        <v>17</v>
      </c>
      <c r="C85" s="11">
        <v>1.7</v>
      </c>
      <c r="D85" s="11">
        <v>3</v>
      </c>
      <c r="E85" s="11">
        <v>60.7</v>
      </c>
      <c r="F85" s="11">
        <v>1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s">
        <v>14</v>
      </c>
      <c r="N85" s="11" t="s">
        <v>16</v>
      </c>
    </row>
    <row r="86" spans="1:14">
      <c r="A86" s="11">
        <v>85</v>
      </c>
      <c r="B86" s="11">
        <v>13</v>
      </c>
      <c r="C86" s="11">
        <v>1.5</v>
      </c>
      <c r="D86" s="11">
        <v>5.7</v>
      </c>
      <c r="E86" s="11">
        <v>100</v>
      </c>
      <c r="F86" s="11">
        <v>1.3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1</v>
      </c>
      <c r="M86" s="11" t="s">
        <v>17</v>
      </c>
      <c r="N86" s="11" t="s">
        <v>19</v>
      </c>
    </row>
    <row r="87" spans="1:14">
      <c r="A87" s="11">
        <v>86</v>
      </c>
      <c r="B87" s="11">
        <v>13</v>
      </c>
      <c r="C87" s="11">
        <v>1.3</v>
      </c>
      <c r="D87" s="11">
        <v>3.4</v>
      </c>
      <c r="E87" s="11">
        <v>71.8</v>
      </c>
      <c r="F87" s="11">
        <v>1.4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s">
        <v>14</v>
      </c>
      <c r="N87" s="11" t="s">
        <v>19</v>
      </c>
    </row>
    <row r="88" spans="1:14">
      <c r="A88" s="11">
        <v>87</v>
      </c>
      <c r="B88" s="11">
        <v>13</v>
      </c>
      <c r="C88" s="11">
        <v>2.9</v>
      </c>
      <c r="D88" s="11">
        <v>3</v>
      </c>
      <c r="E88" s="11">
        <v>44.3</v>
      </c>
      <c r="F88" s="11">
        <v>2.6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s">
        <v>14</v>
      </c>
      <c r="N88" s="11" t="s">
        <v>19</v>
      </c>
    </row>
    <row r="89" spans="1:14">
      <c r="A89" s="11">
        <v>88</v>
      </c>
      <c r="B89" s="11">
        <v>13</v>
      </c>
      <c r="C89" s="11">
        <v>4.3</v>
      </c>
      <c r="D89" s="11">
        <v>4.2</v>
      </c>
      <c r="E89" s="11">
        <v>66.1</v>
      </c>
      <c r="F89" s="11">
        <v>1.2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1</v>
      </c>
      <c r="M89" s="11" t="s">
        <v>17</v>
      </c>
      <c r="N89" s="11" t="s">
        <v>19</v>
      </c>
    </row>
    <row r="90" spans="1:14">
      <c r="A90" s="11">
        <v>89</v>
      </c>
      <c r="B90" s="11">
        <v>16</v>
      </c>
      <c r="C90" s="11">
        <v>1.8</v>
      </c>
      <c r="D90" s="11">
        <v>4.5</v>
      </c>
      <c r="E90" s="11">
        <v>83.3</v>
      </c>
      <c r="F90" s="11">
        <v>2.6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1</v>
      </c>
      <c r="M90" s="11" t="s">
        <v>17</v>
      </c>
      <c r="N90" s="11" t="s">
        <v>15</v>
      </c>
    </row>
    <row r="91" spans="1:14">
      <c r="A91" s="11">
        <v>90</v>
      </c>
      <c r="B91" s="11">
        <v>15</v>
      </c>
      <c r="C91" s="11">
        <v>2.5</v>
      </c>
      <c r="D91" s="11">
        <v>6.9</v>
      </c>
      <c r="E91" s="11">
        <v>90</v>
      </c>
      <c r="F91" s="11">
        <v>0</v>
      </c>
      <c r="G91" s="11" t="b">
        <v>0</v>
      </c>
      <c r="H91" s="11" t="b">
        <v>1</v>
      </c>
      <c r="I91" s="11" t="b">
        <v>0</v>
      </c>
      <c r="J91" s="11" t="b">
        <v>0</v>
      </c>
      <c r="K91" s="11" t="b">
        <v>0</v>
      </c>
      <c r="L91" s="11" t="b">
        <v>1</v>
      </c>
      <c r="M91" s="11" t="s">
        <v>17</v>
      </c>
      <c r="N91" s="11" t="s">
        <v>15</v>
      </c>
    </row>
    <row r="92" spans="1:14">
      <c r="A92" s="11">
        <v>91</v>
      </c>
      <c r="B92" s="11">
        <v>15</v>
      </c>
      <c r="C92" s="11">
        <v>3.2</v>
      </c>
      <c r="D92" s="11">
        <v>4.5</v>
      </c>
      <c r="E92" s="11">
        <v>77.2</v>
      </c>
      <c r="F92" s="11">
        <v>2.6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1</v>
      </c>
      <c r="M92" s="11" t="s">
        <v>17</v>
      </c>
      <c r="N92" s="11" t="s">
        <v>15</v>
      </c>
    </row>
    <row r="93" spans="1:14">
      <c r="A93" s="11">
        <v>92</v>
      </c>
      <c r="B93" s="11">
        <v>13</v>
      </c>
      <c r="C93" s="11">
        <v>1.1</v>
      </c>
      <c r="D93" s="11">
        <v>4.3</v>
      </c>
      <c r="E93" s="11">
        <v>85.7</v>
      </c>
      <c r="F93" s="11">
        <v>2.5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1</v>
      </c>
      <c r="M93" s="11" t="s">
        <v>17</v>
      </c>
      <c r="N93" s="11" t="s">
        <v>19</v>
      </c>
    </row>
    <row r="94" spans="1:14">
      <c r="A94" s="11">
        <v>93</v>
      </c>
      <c r="B94" s="11">
        <v>15</v>
      </c>
      <c r="C94" s="11">
        <v>1.3</v>
      </c>
      <c r="D94" s="11">
        <v>6.4</v>
      </c>
      <c r="E94" s="11">
        <v>58.2</v>
      </c>
      <c r="F94" s="11">
        <v>2.2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1</v>
      </c>
      <c r="M94" s="11" t="s">
        <v>17</v>
      </c>
      <c r="N94" s="11" t="s">
        <v>15</v>
      </c>
    </row>
    <row r="95" spans="1:14">
      <c r="A95" s="11">
        <v>94</v>
      </c>
      <c r="B95" s="11">
        <v>15</v>
      </c>
      <c r="C95" s="11">
        <v>3</v>
      </c>
      <c r="D95" s="11">
        <v>4.9</v>
      </c>
      <c r="E95" s="11">
        <v>63.2</v>
      </c>
      <c r="F95" s="11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1</v>
      </c>
      <c r="M95" s="11" t="s">
        <v>17</v>
      </c>
      <c r="N95" s="11" t="s">
        <v>15</v>
      </c>
    </row>
    <row r="96" spans="1:14">
      <c r="A96" s="11">
        <v>95</v>
      </c>
      <c r="B96" s="11">
        <v>13</v>
      </c>
      <c r="C96" s="11">
        <v>2.3</v>
      </c>
      <c r="D96" s="11">
        <v>3</v>
      </c>
      <c r="E96" s="11">
        <v>53.2</v>
      </c>
      <c r="F96" s="11">
        <v>2.3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s">
        <v>14</v>
      </c>
      <c r="N96" s="11" t="s">
        <v>19</v>
      </c>
    </row>
    <row r="97" spans="1:14">
      <c r="A97" s="11">
        <v>96</v>
      </c>
      <c r="B97" s="11">
        <v>15</v>
      </c>
      <c r="C97" s="11">
        <v>1.8</v>
      </c>
      <c r="D97" s="11">
        <v>6</v>
      </c>
      <c r="E97" s="11">
        <v>63.9</v>
      </c>
      <c r="F97" s="11">
        <v>1.5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1</v>
      </c>
      <c r="M97" s="11" t="s">
        <v>17</v>
      </c>
      <c r="N97" s="11" t="s">
        <v>15</v>
      </c>
    </row>
    <row r="98" spans="1:14">
      <c r="A98" s="11">
        <v>97</v>
      </c>
      <c r="B98" s="11">
        <v>17</v>
      </c>
      <c r="C98" s="11">
        <v>2.6</v>
      </c>
      <c r="D98" s="11">
        <v>2.9</v>
      </c>
      <c r="E98" s="11">
        <v>77.6</v>
      </c>
      <c r="F98" s="11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s">
        <v>14</v>
      </c>
      <c r="N98" s="11" t="s">
        <v>16</v>
      </c>
    </row>
    <row r="99" spans="1:14">
      <c r="A99" s="11">
        <v>98</v>
      </c>
      <c r="B99" s="11">
        <v>14</v>
      </c>
      <c r="C99" s="11">
        <v>2.1</v>
      </c>
      <c r="D99" s="11">
        <v>3</v>
      </c>
      <c r="E99" s="11">
        <v>72.1</v>
      </c>
      <c r="F99" s="11">
        <v>2.5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s">
        <v>14</v>
      </c>
      <c r="N99" s="11" t="s">
        <v>19</v>
      </c>
    </row>
    <row r="100" spans="1:14">
      <c r="A100" s="11">
        <v>99</v>
      </c>
      <c r="B100" s="11">
        <v>14</v>
      </c>
      <c r="C100" s="11">
        <v>4.4</v>
      </c>
      <c r="D100" s="11">
        <v>2.7</v>
      </c>
      <c r="E100" s="11">
        <v>78.7</v>
      </c>
      <c r="F100" s="11">
        <v>2.7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s">
        <v>14</v>
      </c>
      <c r="N100" s="11" t="s">
        <v>19</v>
      </c>
    </row>
    <row r="101" spans="1:14">
      <c r="A101" s="11">
        <v>100</v>
      </c>
      <c r="B101" s="11">
        <v>13</v>
      </c>
      <c r="C101" s="11">
        <v>1.8</v>
      </c>
      <c r="D101" s="11">
        <v>2.6</v>
      </c>
      <c r="E101" s="11">
        <v>60.6</v>
      </c>
      <c r="F101" s="11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s">
        <v>14</v>
      </c>
      <c r="N101" s="11" t="s">
        <v>19</v>
      </c>
    </row>
    <row r="102" spans="1:14">
      <c r="A102" s="11">
        <v>101</v>
      </c>
      <c r="B102" s="11">
        <v>16</v>
      </c>
      <c r="C102" s="11">
        <v>1.6</v>
      </c>
      <c r="D102" s="11">
        <v>4.5</v>
      </c>
      <c r="E102" s="11">
        <v>61.2</v>
      </c>
      <c r="F102" s="11">
        <v>1.6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1</v>
      </c>
      <c r="M102" s="11" t="s">
        <v>17</v>
      </c>
      <c r="N102" s="11" t="s">
        <v>15</v>
      </c>
    </row>
    <row r="103" spans="1:14">
      <c r="A103" s="11">
        <v>102</v>
      </c>
      <c r="B103" s="11">
        <v>13</v>
      </c>
      <c r="C103" s="11">
        <v>2</v>
      </c>
      <c r="D103" s="11">
        <v>3.6</v>
      </c>
      <c r="E103" s="11">
        <v>72</v>
      </c>
      <c r="F103" s="11">
        <v>2.6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s">
        <v>14</v>
      </c>
      <c r="N103" s="11" t="s">
        <v>19</v>
      </c>
    </row>
    <row r="104" spans="1:14">
      <c r="A104" s="11">
        <v>103</v>
      </c>
      <c r="B104" s="11">
        <v>16</v>
      </c>
      <c r="C104" s="11">
        <v>2.1</v>
      </c>
      <c r="D104" s="11">
        <v>0</v>
      </c>
      <c r="E104" s="11">
        <v>64</v>
      </c>
      <c r="F104" s="11">
        <v>2.5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s">
        <v>18</v>
      </c>
      <c r="N104" s="11" t="s">
        <v>15</v>
      </c>
    </row>
    <row r="105" spans="1:14">
      <c r="A105" s="11">
        <v>104</v>
      </c>
      <c r="B105" s="11">
        <v>14</v>
      </c>
      <c r="C105" s="11">
        <v>2.5</v>
      </c>
      <c r="D105" s="11">
        <v>3.6</v>
      </c>
      <c r="E105" s="11">
        <v>83</v>
      </c>
      <c r="F105" s="11">
        <v>2.2</v>
      </c>
      <c r="G105" s="11" t="b">
        <v>0</v>
      </c>
      <c r="H105" s="11" t="b">
        <v>1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s">
        <v>14</v>
      </c>
      <c r="N105" s="11" t="s">
        <v>19</v>
      </c>
    </row>
    <row r="106" spans="1:14">
      <c r="A106" s="11">
        <v>105</v>
      </c>
      <c r="B106" s="11">
        <v>13</v>
      </c>
      <c r="C106" s="11">
        <v>0.5</v>
      </c>
      <c r="D106" s="11">
        <v>3.2</v>
      </c>
      <c r="E106" s="11">
        <v>63.7</v>
      </c>
      <c r="F106" s="11">
        <v>0</v>
      </c>
      <c r="G106" s="11" t="b">
        <v>0</v>
      </c>
      <c r="H106" s="11" t="b">
        <v>0</v>
      </c>
      <c r="I106" s="11" t="b">
        <v>0</v>
      </c>
      <c r="J106" s="11" t="b">
        <v>0</v>
      </c>
      <c r="K106" s="11" t="b">
        <v>0</v>
      </c>
      <c r="L106" s="11" t="b">
        <v>0</v>
      </c>
      <c r="M106" s="11" t="s">
        <v>14</v>
      </c>
      <c r="N106" s="11" t="s">
        <v>19</v>
      </c>
    </row>
    <row r="107" spans="1:14">
      <c r="A107" s="11">
        <v>106</v>
      </c>
      <c r="B107" s="11">
        <v>17</v>
      </c>
      <c r="C107" s="11">
        <v>2.9</v>
      </c>
      <c r="D107" s="11">
        <v>5.3</v>
      </c>
      <c r="E107" s="11">
        <v>65</v>
      </c>
      <c r="F107" s="11">
        <v>2.1</v>
      </c>
      <c r="G107" s="11" t="b">
        <v>0</v>
      </c>
      <c r="H107" s="11" t="b">
        <v>0</v>
      </c>
      <c r="I107" s="11" t="b">
        <v>0</v>
      </c>
      <c r="J107" s="11" t="b">
        <v>0</v>
      </c>
      <c r="K107" s="11" t="b">
        <v>0</v>
      </c>
      <c r="L107" s="11" t="b">
        <v>1</v>
      </c>
      <c r="M107" s="11" t="s">
        <v>17</v>
      </c>
      <c r="N107" s="11" t="s">
        <v>16</v>
      </c>
    </row>
    <row r="108" spans="1:14">
      <c r="A108" s="11">
        <v>107</v>
      </c>
      <c r="B108" s="11">
        <v>15</v>
      </c>
      <c r="C108" s="11">
        <v>2</v>
      </c>
      <c r="D108" s="11">
        <v>3.2</v>
      </c>
      <c r="E108" s="11">
        <v>74.2</v>
      </c>
      <c r="F108" s="11">
        <v>1.3</v>
      </c>
      <c r="G108" s="11" t="b">
        <v>0</v>
      </c>
      <c r="H108" s="11" t="b">
        <v>0</v>
      </c>
      <c r="I108" s="11" t="b">
        <v>0</v>
      </c>
      <c r="J108" s="11" t="b">
        <v>0</v>
      </c>
      <c r="K108" s="11" t="b">
        <v>0</v>
      </c>
      <c r="L108" s="11" t="b">
        <v>0</v>
      </c>
      <c r="M108" s="11" t="s">
        <v>14</v>
      </c>
      <c r="N108" s="11" t="s">
        <v>15</v>
      </c>
    </row>
    <row r="109" spans="1:14">
      <c r="A109" s="11">
        <v>108</v>
      </c>
      <c r="B109" s="11">
        <v>16</v>
      </c>
      <c r="C109" s="11">
        <v>3.3</v>
      </c>
      <c r="D109" s="11">
        <v>7.8</v>
      </c>
      <c r="E109" s="11">
        <v>66.1</v>
      </c>
      <c r="F109" s="11">
        <v>2.3</v>
      </c>
      <c r="G109" s="11" t="b">
        <v>0</v>
      </c>
      <c r="H109" s="11" t="b">
        <v>0</v>
      </c>
      <c r="I109" s="11" t="b">
        <v>0</v>
      </c>
      <c r="J109" s="11" t="b">
        <v>0</v>
      </c>
      <c r="K109" s="11" t="b">
        <v>0</v>
      </c>
      <c r="L109" s="11" t="b">
        <v>1</v>
      </c>
      <c r="M109" s="11" t="s">
        <v>17</v>
      </c>
      <c r="N109" s="11" t="s">
        <v>15</v>
      </c>
    </row>
    <row r="110" spans="1:14">
      <c r="A110" s="11">
        <v>109</v>
      </c>
      <c r="B110" s="11">
        <v>15</v>
      </c>
      <c r="C110" s="11">
        <v>2.5</v>
      </c>
      <c r="D110" s="11">
        <v>6.1</v>
      </c>
      <c r="E110" s="11">
        <v>57.7</v>
      </c>
      <c r="F110" s="11">
        <v>1.7</v>
      </c>
      <c r="G110" s="11" t="b">
        <v>0</v>
      </c>
      <c r="H110" s="11" t="b">
        <v>0</v>
      </c>
      <c r="I110" s="11" t="b">
        <v>0</v>
      </c>
      <c r="J110" s="11" t="b">
        <v>0</v>
      </c>
      <c r="K110" s="11" t="b">
        <v>0</v>
      </c>
      <c r="L110" s="11" t="b">
        <v>1</v>
      </c>
      <c r="M110" s="11" t="s">
        <v>17</v>
      </c>
      <c r="N110" s="11" t="s">
        <v>15</v>
      </c>
    </row>
    <row r="111" spans="1:14">
      <c r="A111" s="11">
        <v>110</v>
      </c>
      <c r="B111" s="11">
        <v>15</v>
      </c>
      <c r="C111" s="11">
        <v>3</v>
      </c>
      <c r="D111" s="11">
        <v>3.4</v>
      </c>
      <c r="E111" s="11">
        <v>59</v>
      </c>
      <c r="F111" s="11">
        <v>1.5</v>
      </c>
      <c r="G111" s="11" t="b">
        <v>0</v>
      </c>
      <c r="H111" s="11" t="b">
        <v>0</v>
      </c>
      <c r="I111" s="11" t="b">
        <v>0</v>
      </c>
      <c r="J111" s="11" t="b">
        <v>0</v>
      </c>
      <c r="K111" s="11" t="b">
        <v>0</v>
      </c>
      <c r="L111" s="11" t="b">
        <v>0</v>
      </c>
      <c r="M111" s="11" t="s">
        <v>14</v>
      </c>
      <c r="N111" s="11" t="s">
        <v>15</v>
      </c>
    </row>
    <row r="112" spans="1:14">
      <c r="A112" s="11">
        <v>111</v>
      </c>
      <c r="B112" s="11">
        <v>13</v>
      </c>
      <c r="C112" s="11">
        <v>2.1</v>
      </c>
      <c r="D112" s="11">
        <v>5.7</v>
      </c>
      <c r="E112" s="11">
        <v>75.4</v>
      </c>
      <c r="F112" s="11">
        <v>2</v>
      </c>
      <c r="G112" s="11" t="b">
        <v>0</v>
      </c>
      <c r="H112" s="11" t="b">
        <v>0</v>
      </c>
      <c r="I112" s="11" t="b">
        <v>0</v>
      </c>
      <c r="J112" s="11" t="b">
        <v>0</v>
      </c>
      <c r="K112" s="11" t="b">
        <v>0</v>
      </c>
      <c r="L112" s="11" t="b">
        <v>1</v>
      </c>
      <c r="M112" s="11" t="s">
        <v>17</v>
      </c>
      <c r="N112" s="11" t="s">
        <v>19</v>
      </c>
    </row>
    <row r="113" spans="1:14">
      <c r="A113" s="11">
        <v>112</v>
      </c>
      <c r="B113" s="11">
        <v>15</v>
      </c>
      <c r="C113" s="11">
        <v>2.9</v>
      </c>
      <c r="D113" s="11">
        <v>4.1</v>
      </c>
      <c r="E113" s="11">
        <v>56.4</v>
      </c>
      <c r="F113" s="11">
        <v>1.4</v>
      </c>
      <c r="G113" s="11" t="b">
        <v>0</v>
      </c>
      <c r="H113" s="11" t="b">
        <v>0</v>
      </c>
      <c r="I113" s="11" t="b">
        <v>1</v>
      </c>
      <c r="J113" s="11" t="b">
        <v>0</v>
      </c>
      <c r="K113" s="11" t="b">
        <v>0</v>
      </c>
      <c r="L113" s="11" t="b">
        <v>1</v>
      </c>
      <c r="M113" s="11" t="s">
        <v>17</v>
      </c>
      <c r="N113" s="11" t="s">
        <v>15</v>
      </c>
    </row>
    <row r="114" spans="1:14">
      <c r="A114" s="11">
        <v>113</v>
      </c>
      <c r="B114" s="11">
        <v>17</v>
      </c>
      <c r="C114" s="11">
        <v>4.2</v>
      </c>
      <c r="D114" s="11">
        <v>4.4</v>
      </c>
      <c r="E114" s="11">
        <v>84</v>
      </c>
      <c r="F114" s="11">
        <v>1.5</v>
      </c>
      <c r="G114" s="11" t="b">
        <v>0</v>
      </c>
      <c r="H114" s="11" t="b">
        <v>0</v>
      </c>
      <c r="I114" s="11" t="b">
        <v>0</v>
      </c>
      <c r="J114" s="11" t="b">
        <v>0</v>
      </c>
      <c r="K114" s="11" t="b">
        <v>0</v>
      </c>
      <c r="L114" s="11" t="b">
        <v>1</v>
      </c>
      <c r="M114" s="11" t="s">
        <v>17</v>
      </c>
      <c r="N114" s="11" t="s">
        <v>16</v>
      </c>
    </row>
    <row r="115" spans="1:14">
      <c r="A115" s="11">
        <v>114</v>
      </c>
      <c r="B115" s="11">
        <v>15</v>
      </c>
      <c r="C115" s="11">
        <v>1.8</v>
      </c>
      <c r="D115" s="11">
        <v>5.2</v>
      </c>
      <c r="E115" s="11">
        <v>63.1</v>
      </c>
      <c r="F115" s="11">
        <v>1.1</v>
      </c>
      <c r="G115" s="11" t="b">
        <v>0</v>
      </c>
      <c r="H115" s="11" t="b">
        <v>0</v>
      </c>
      <c r="I115" s="11" t="b">
        <v>0</v>
      </c>
      <c r="J115" s="11" t="b">
        <v>0</v>
      </c>
      <c r="K115" s="11" t="b">
        <v>0</v>
      </c>
      <c r="L115" s="11" t="b">
        <v>1</v>
      </c>
      <c r="M115" s="11" t="s">
        <v>17</v>
      </c>
      <c r="N115" s="11" t="s">
        <v>15</v>
      </c>
    </row>
    <row r="116" spans="1:14">
      <c r="A116" s="11">
        <v>115</v>
      </c>
      <c r="B116" s="11">
        <v>13</v>
      </c>
      <c r="C116" s="11">
        <v>2.4</v>
      </c>
      <c r="D116" s="11">
        <v>4.1</v>
      </c>
      <c r="E116" s="11">
        <v>76.2</v>
      </c>
      <c r="F116" s="11">
        <v>0.2</v>
      </c>
      <c r="G116" s="11" t="b">
        <v>0</v>
      </c>
      <c r="H116" s="11" t="b">
        <v>0</v>
      </c>
      <c r="I116" s="11" t="b">
        <v>0</v>
      </c>
      <c r="J116" s="11" t="b">
        <v>0</v>
      </c>
      <c r="K116" s="11" t="b">
        <v>0</v>
      </c>
      <c r="L116" s="11" t="b">
        <v>1</v>
      </c>
      <c r="M116" s="11" t="s">
        <v>17</v>
      </c>
      <c r="N116" s="11" t="s">
        <v>19</v>
      </c>
    </row>
    <row r="117" spans="1:14">
      <c r="A117" s="11">
        <v>116</v>
      </c>
      <c r="B117" s="11">
        <v>17</v>
      </c>
      <c r="C117" s="11">
        <v>2</v>
      </c>
      <c r="D117" s="11">
        <v>4.4</v>
      </c>
      <c r="E117" s="11">
        <v>63.7</v>
      </c>
      <c r="F117" s="11">
        <v>2</v>
      </c>
      <c r="G117" s="11" t="b">
        <v>0</v>
      </c>
      <c r="H117" s="11" t="b">
        <v>0</v>
      </c>
      <c r="I117" s="11" t="b">
        <v>0</v>
      </c>
      <c r="J117" s="11" t="b">
        <v>0</v>
      </c>
      <c r="K117" s="11" t="b">
        <v>0</v>
      </c>
      <c r="L117" s="11" t="b">
        <v>1</v>
      </c>
      <c r="M117" s="11" t="s">
        <v>17</v>
      </c>
      <c r="N117" s="11" t="s">
        <v>16</v>
      </c>
    </row>
    <row r="118" spans="1:14">
      <c r="A118" s="11">
        <v>117</v>
      </c>
      <c r="B118" s="11">
        <v>14</v>
      </c>
      <c r="C118" s="11">
        <v>4.1</v>
      </c>
      <c r="D118" s="11">
        <v>5.2</v>
      </c>
      <c r="E118" s="11">
        <v>60.8</v>
      </c>
      <c r="F118" s="11">
        <v>0.9</v>
      </c>
      <c r="G118" s="11" t="b">
        <v>0</v>
      </c>
      <c r="H118" s="11" t="b">
        <v>0</v>
      </c>
      <c r="I118" s="11" t="b">
        <v>0</v>
      </c>
      <c r="J118" s="11" t="b">
        <v>0</v>
      </c>
      <c r="K118" s="11" t="b">
        <v>0</v>
      </c>
      <c r="L118" s="11" t="b">
        <v>1</v>
      </c>
      <c r="M118" s="11" t="s">
        <v>17</v>
      </c>
      <c r="N118" s="11" t="s">
        <v>19</v>
      </c>
    </row>
    <row r="119" spans="1:14">
      <c r="A119" s="11">
        <v>118</v>
      </c>
      <c r="B119" s="11">
        <v>15</v>
      </c>
      <c r="C119" s="11">
        <v>2.1</v>
      </c>
      <c r="D119" s="11">
        <v>7.1</v>
      </c>
      <c r="E119" s="11">
        <v>72.5</v>
      </c>
      <c r="F119" s="11">
        <v>1.3</v>
      </c>
      <c r="G119" s="11" t="b">
        <v>0</v>
      </c>
      <c r="H119" s="11" t="b">
        <v>0</v>
      </c>
      <c r="I119" s="11" t="b">
        <v>0</v>
      </c>
      <c r="J119" s="11" t="b">
        <v>0</v>
      </c>
      <c r="K119" s="11" t="b">
        <v>0</v>
      </c>
      <c r="L119" s="11" t="b">
        <v>1</v>
      </c>
      <c r="M119" s="11" t="s">
        <v>17</v>
      </c>
      <c r="N119" s="11" t="s">
        <v>15</v>
      </c>
    </row>
    <row r="120" spans="1:14">
      <c r="A120" s="11">
        <v>119</v>
      </c>
      <c r="B120" s="11">
        <v>13</v>
      </c>
      <c r="C120" s="11">
        <v>1.8</v>
      </c>
      <c r="D120" s="11">
        <v>4.4</v>
      </c>
      <c r="E120" s="11">
        <v>80.5</v>
      </c>
      <c r="F120" s="11">
        <v>1.7</v>
      </c>
      <c r="G120" s="11" t="b">
        <v>0</v>
      </c>
      <c r="H120" s="11" t="b">
        <v>0</v>
      </c>
      <c r="I120" s="11" t="b">
        <v>0</v>
      </c>
      <c r="J120" s="11" t="b">
        <v>0</v>
      </c>
      <c r="K120" s="11" t="b">
        <v>0</v>
      </c>
      <c r="L120" s="11" t="b">
        <v>1</v>
      </c>
      <c r="M120" s="11" t="s">
        <v>17</v>
      </c>
      <c r="N120" s="11" t="s">
        <v>19</v>
      </c>
    </row>
    <row r="121" spans="1:14">
      <c r="A121" s="11">
        <v>120</v>
      </c>
      <c r="B121" s="11">
        <v>14</v>
      </c>
      <c r="C121" s="11">
        <v>1.9</v>
      </c>
      <c r="D121" s="11">
        <v>3.3</v>
      </c>
      <c r="E121" s="11">
        <v>67.5</v>
      </c>
      <c r="F121" s="11">
        <v>0</v>
      </c>
      <c r="G121" s="11" t="b">
        <v>0</v>
      </c>
      <c r="H121" s="11" t="b">
        <v>0</v>
      </c>
      <c r="I121" s="11" t="b">
        <v>0</v>
      </c>
      <c r="J121" s="11" t="b">
        <v>0</v>
      </c>
      <c r="K121" s="11" t="b">
        <v>0</v>
      </c>
      <c r="L121" s="11" t="b">
        <v>0</v>
      </c>
      <c r="M121" s="11" t="s">
        <v>14</v>
      </c>
      <c r="N121" s="11" t="s">
        <v>19</v>
      </c>
    </row>
    <row r="122" spans="1:14">
      <c r="A122" s="11">
        <v>121</v>
      </c>
      <c r="B122" s="11">
        <v>14</v>
      </c>
      <c r="C122" s="11">
        <v>2.4</v>
      </c>
      <c r="D122" s="11">
        <v>1</v>
      </c>
      <c r="E122" s="11">
        <v>69.3</v>
      </c>
      <c r="F122" s="11">
        <v>0</v>
      </c>
      <c r="G122" s="11" t="b">
        <v>0</v>
      </c>
      <c r="H122" s="11" t="b">
        <v>0</v>
      </c>
      <c r="I122" s="11" t="b">
        <v>0</v>
      </c>
      <c r="J122" s="11" t="b">
        <v>0</v>
      </c>
      <c r="K122" s="11" t="b">
        <v>0</v>
      </c>
      <c r="L122" s="11" t="b">
        <v>0</v>
      </c>
      <c r="M122" s="11" t="s">
        <v>18</v>
      </c>
      <c r="N122" s="11" t="s">
        <v>19</v>
      </c>
    </row>
    <row r="123" spans="1:14">
      <c r="A123" s="11">
        <v>122</v>
      </c>
      <c r="B123" s="11">
        <v>16</v>
      </c>
      <c r="C123" s="11">
        <v>1.7</v>
      </c>
      <c r="D123" s="11">
        <v>6.9</v>
      </c>
      <c r="E123" s="11">
        <v>78.1</v>
      </c>
      <c r="F123" s="11">
        <v>1.3</v>
      </c>
      <c r="G123" s="11" t="b">
        <v>0</v>
      </c>
      <c r="H123" s="11" t="b">
        <v>0</v>
      </c>
      <c r="I123" s="11" t="b">
        <v>0</v>
      </c>
      <c r="J123" s="11" t="b">
        <v>0</v>
      </c>
      <c r="K123" s="11" t="b">
        <v>0</v>
      </c>
      <c r="L123" s="11" t="b">
        <v>1</v>
      </c>
      <c r="M123" s="11" t="s">
        <v>17</v>
      </c>
      <c r="N123" s="11" t="s">
        <v>15</v>
      </c>
    </row>
    <row r="124" spans="1:14">
      <c r="A124" s="11">
        <v>123</v>
      </c>
      <c r="B124" s="11">
        <v>17</v>
      </c>
      <c r="C124" s="11">
        <v>2.1</v>
      </c>
      <c r="D124" s="11">
        <v>3.6</v>
      </c>
      <c r="E124" s="11">
        <v>78.4</v>
      </c>
      <c r="F124" s="11">
        <v>1.9</v>
      </c>
      <c r="G124" s="11" t="b">
        <v>0</v>
      </c>
      <c r="H124" s="11" t="b">
        <v>0</v>
      </c>
      <c r="I124" s="11" t="b">
        <v>0</v>
      </c>
      <c r="J124" s="11" t="b">
        <v>0</v>
      </c>
      <c r="K124" s="11" t="b">
        <v>0</v>
      </c>
      <c r="L124" s="11" t="b">
        <v>0</v>
      </c>
      <c r="M124" s="11" t="s">
        <v>14</v>
      </c>
      <c r="N124" s="11" t="s">
        <v>16</v>
      </c>
    </row>
    <row r="125" spans="1:14">
      <c r="A125" s="11">
        <v>124</v>
      </c>
      <c r="B125" s="11">
        <v>15</v>
      </c>
      <c r="C125" s="11">
        <v>2.7</v>
      </c>
      <c r="D125" s="11">
        <v>4.8</v>
      </c>
      <c r="E125" s="11">
        <v>69.6</v>
      </c>
      <c r="F125" s="11">
        <v>2.1</v>
      </c>
      <c r="G125" s="11" t="b">
        <v>0</v>
      </c>
      <c r="H125" s="11" t="b">
        <v>0</v>
      </c>
      <c r="I125" s="11" t="b">
        <v>0</v>
      </c>
      <c r="J125" s="11" t="b">
        <v>0</v>
      </c>
      <c r="K125" s="11" t="b">
        <v>0</v>
      </c>
      <c r="L125" s="11" t="b">
        <v>1</v>
      </c>
      <c r="M125" s="11" t="s">
        <v>17</v>
      </c>
      <c r="N125" s="11" t="s">
        <v>15</v>
      </c>
    </row>
    <row r="126" spans="1:14">
      <c r="A126" s="11">
        <v>125</v>
      </c>
      <c r="B126" s="11">
        <v>13</v>
      </c>
      <c r="C126" s="11">
        <v>2.4</v>
      </c>
      <c r="D126" s="11">
        <v>6.9</v>
      </c>
      <c r="E126" s="11">
        <v>65.6</v>
      </c>
      <c r="F126" s="11">
        <v>0.2</v>
      </c>
      <c r="G126" s="11" t="b">
        <v>0</v>
      </c>
      <c r="H126" s="11" t="b">
        <v>0</v>
      </c>
      <c r="I126" s="11" t="b">
        <v>0</v>
      </c>
      <c r="J126" s="11" t="b">
        <v>0</v>
      </c>
      <c r="K126" s="11" t="b">
        <v>0</v>
      </c>
      <c r="L126" s="11" t="b">
        <v>1</v>
      </c>
      <c r="M126" s="11" t="s">
        <v>17</v>
      </c>
      <c r="N126" s="11" t="s">
        <v>19</v>
      </c>
    </row>
    <row r="127" spans="1:14">
      <c r="A127" s="11">
        <v>126</v>
      </c>
      <c r="B127" s="11">
        <v>16</v>
      </c>
      <c r="C127" s="11">
        <v>3.3</v>
      </c>
      <c r="D127" s="11">
        <v>4.3</v>
      </c>
      <c r="E127" s="11">
        <v>70.8</v>
      </c>
      <c r="F127" s="11">
        <v>2</v>
      </c>
      <c r="G127" s="11" t="b">
        <v>0</v>
      </c>
      <c r="H127" s="11" t="b">
        <v>0</v>
      </c>
      <c r="I127" s="11" t="b">
        <v>0</v>
      </c>
      <c r="J127" s="11" t="b">
        <v>0</v>
      </c>
      <c r="K127" s="11" t="b">
        <v>0</v>
      </c>
      <c r="L127" s="11" t="b">
        <v>1</v>
      </c>
      <c r="M127" s="11" t="s">
        <v>17</v>
      </c>
      <c r="N127" s="11" t="s">
        <v>15</v>
      </c>
    </row>
    <row r="128" spans="1:14">
      <c r="A128" s="11">
        <v>127</v>
      </c>
      <c r="B128" s="11">
        <v>17</v>
      </c>
      <c r="C128" s="11">
        <v>2.2</v>
      </c>
      <c r="D128" s="11">
        <v>3.7</v>
      </c>
      <c r="E128" s="11">
        <v>68.1</v>
      </c>
      <c r="F128" s="11">
        <v>1.3</v>
      </c>
      <c r="G128" s="11" t="b">
        <v>0</v>
      </c>
      <c r="H128" s="11" t="b">
        <v>0</v>
      </c>
      <c r="I128" s="11" t="b">
        <v>0</v>
      </c>
      <c r="J128" s="11" t="b">
        <v>0</v>
      </c>
      <c r="K128" s="11" t="b">
        <v>0</v>
      </c>
      <c r="L128" s="11" t="b">
        <v>0</v>
      </c>
      <c r="M128" s="11" t="s">
        <v>14</v>
      </c>
      <c r="N128" s="11" t="s">
        <v>16</v>
      </c>
    </row>
    <row r="129" spans="1:14">
      <c r="A129" s="11">
        <v>128</v>
      </c>
      <c r="B129" s="11">
        <v>16</v>
      </c>
      <c r="C129" s="11">
        <v>2.3</v>
      </c>
      <c r="D129" s="11">
        <v>6.1</v>
      </c>
      <c r="E129" s="11">
        <v>73.1</v>
      </c>
      <c r="F129" s="11">
        <v>0.8</v>
      </c>
      <c r="G129" s="11" t="b">
        <v>0</v>
      </c>
      <c r="H129" s="11" t="b">
        <v>0</v>
      </c>
      <c r="I129" s="11" t="b">
        <v>0</v>
      </c>
      <c r="J129" s="11" t="b">
        <v>0</v>
      </c>
      <c r="K129" s="11" t="b">
        <v>0</v>
      </c>
      <c r="L129" s="11" t="b">
        <v>1</v>
      </c>
      <c r="M129" s="11" t="s">
        <v>17</v>
      </c>
      <c r="N129" s="11" t="s">
        <v>15</v>
      </c>
    </row>
    <row r="130" spans="1:14">
      <c r="A130" s="11">
        <v>129</v>
      </c>
      <c r="B130" s="11">
        <v>17</v>
      </c>
      <c r="C130" s="11">
        <v>2.8</v>
      </c>
      <c r="D130" s="11">
        <v>4.7</v>
      </c>
      <c r="E130" s="11">
        <v>58.1</v>
      </c>
      <c r="F130" s="11">
        <v>1</v>
      </c>
      <c r="G130" s="11" t="b">
        <v>0</v>
      </c>
      <c r="H130" s="11" t="b">
        <v>0</v>
      </c>
      <c r="I130" s="11" t="b">
        <v>0</v>
      </c>
      <c r="J130" s="11" t="b">
        <v>0</v>
      </c>
      <c r="K130" s="11" t="b">
        <v>0</v>
      </c>
      <c r="L130" s="11" t="b">
        <v>1</v>
      </c>
      <c r="M130" s="11" t="s">
        <v>17</v>
      </c>
      <c r="N130" s="11" t="s">
        <v>16</v>
      </c>
    </row>
    <row r="131" spans="1:14">
      <c r="A131" s="11">
        <v>130</v>
      </c>
      <c r="B131" s="11">
        <v>17</v>
      </c>
      <c r="C131" s="11">
        <v>4.7</v>
      </c>
      <c r="D131" s="11">
        <v>4.9</v>
      </c>
      <c r="E131" s="11">
        <v>72.8</v>
      </c>
      <c r="F131" s="11">
        <v>2.1</v>
      </c>
      <c r="G131" s="11" t="b">
        <v>0</v>
      </c>
      <c r="H131" s="11" t="b">
        <v>0</v>
      </c>
      <c r="I131" s="11" t="b">
        <v>0</v>
      </c>
      <c r="J131" s="11" t="b">
        <v>0</v>
      </c>
      <c r="K131" s="11" t="b">
        <v>0</v>
      </c>
      <c r="L131" s="11" t="b">
        <v>1</v>
      </c>
      <c r="M131" s="11" t="s">
        <v>17</v>
      </c>
      <c r="N131" s="11" t="s">
        <v>16</v>
      </c>
    </row>
    <row r="132" spans="1:14">
      <c r="A132" s="11">
        <v>131</v>
      </c>
      <c r="B132" s="11">
        <v>15</v>
      </c>
      <c r="C132" s="11">
        <v>1.7</v>
      </c>
      <c r="D132" s="11">
        <v>1.7</v>
      </c>
      <c r="E132" s="11">
        <v>62.8</v>
      </c>
      <c r="F132" s="11">
        <v>1.7</v>
      </c>
      <c r="G132" s="11" t="b">
        <v>0</v>
      </c>
      <c r="H132" s="11" t="b">
        <v>0</v>
      </c>
      <c r="I132" s="11" t="b">
        <v>0</v>
      </c>
      <c r="J132" s="11" t="b">
        <v>0</v>
      </c>
      <c r="K132" s="11" t="b">
        <v>0</v>
      </c>
      <c r="L132" s="11" t="b">
        <v>0</v>
      </c>
      <c r="M132" s="11" t="s">
        <v>18</v>
      </c>
      <c r="N132" s="11" t="s">
        <v>15</v>
      </c>
    </row>
    <row r="133" spans="1:14">
      <c r="A133" s="11">
        <v>132</v>
      </c>
      <c r="B133" s="11">
        <v>17</v>
      </c>
      <c r="C133" s="11">
        <v>4.4</v>
      </c>
      <c r="D133" s="11">
        <v>5.8</v>
      </c>
      <c r="E133" s="11">
        <v>79.1</v>
      </c>
      <c r="F133" s="11">
        <v>1.5</v>
      </c>
      <c r="G133" s="11" t="b">
        <v>0</v>
      </c>
      <c r="H133" s="11" t="b">
        <v>0</v>
      </c>
      <c r="I133" s="11" t="b">
        <v>0</v>
      </c>
      <c r="J133" s="11" t="b">
        <v>0</v>
      </c>
      <c r="K133" s="11" t="b">
        <v>0</v>
      </c>
      <c r="L133" s="11" t="b">
        <v>1</v>
      </c>
      <c r="M133" s="11" t="s">
        <v>17</v>
      </c>
      <c r="N133" s="11" t="s">
        <v>16</v>
      </c>
    </row>
    <row r="134" spans="1:14">
      <c r="A134" s="11">
        <v>133</v>
      </c>
      <c r="B134" s="11">
        <v>16</v>
      </c>
      <c r="C134" s="11">
        <v>1.3</v>
      </c>
      <c r="D134" s="11">
        <v>4.6</v>
      </c>
      <c r="E134" s="11">
        <v>63.3</v>
      </c>
      <c r="F134" s="11">
        <v>1.7</v>
      </c>
      <c r="G134" s="11" t="b">
        <v>0</v>
      </c>
      <c r="H134" s="11" t="b">
        <v>0</v>
      </c>
      <c r="I134" s="11" t="b">
        <v>0</v>
      </c>
      <c r="J134" s="11" t="b">
        <v>0</v>
      </c>
      <c r="K134" s="11" t="b">
        <v>0</v>
      </c>
      <c r="L134" s="11" t="b">
        <v>1</v>
      </c>
      <c r="M134" s="11" t="s">
        <v>17</v>
      </c>
      <c r="N134" s="11" t="s">
        <v>15</v>
      </c>
    </row>
    <row r="135" spans="1:14">
      <c r="A135" s="11">
        <v>134</v>
      </c>
      <c r="B135" s="11">
        <v>17</v>
      </c>
      <c r="C135" s="11">
        <v>2.7</v>
      </c>
      <c r="D135" s="11">
        <v>1.9</v>
      </c>
      <c r="E135" s="11">
        <v>63.4</v>
      </c>
      <c r="F135" s="11">
        <v>2.2</v>
      </c>
      <c r="G135" s="11" t="b">
        <v>0</v>
      </c>
      <c r="H135" s="11" t="b">
        <v>0</v>
      </c>
      <c r="I135" s="11" t="b">
        <v>0</v>
      </c>
      <c r="J135" s="11" t="b">
        <v>0</v>
      </c>
      <c r="K135" s="11" t="b">
        <v>0</v>
      </c>
      <c r="L135" s="11" t="b">
        <v>0</v>
      </c>
      <c r="M135" s="11" t="s">
        <v>18</v>
      </c>
      <c r="N135" s="11" t="s">
        <v>16</v>
      </c>
    </row>
    <row r="136" spans="1:14">
      <c r="A136" s="11">
        <v>135</v>
      </c>
      <c r="B136" s="11">
        <v>15</v>
      </c>
      <c r="C136" s="11">
        <v>2.5</v>
      </c>
      <c r="D136" s="11">
        <v>4.7</v>
      </c>
      <c r="E136" s="11">
        <v>74.5</v>
      </c>
      <c r="F136" s="11">
        <v>1.4</v>
      </c>
      <c r="G136" s="11" t="b">
        <v>0</v>
      </c>
      <c r="H136" s="11" t="b">
        <v>1</v>
      </c>
      <c r="I136" s="11" t="b">
        <v>0</v>
      </c>
      <c r="J136" s="11" t="b">
        <v>0</v>
      </c>
      <c r="K136" s="11" t="b">
        <v>0</v>
      </c>
      <c r="L136" s="11" t="b">
        <v>1</v>
      </c>
      <c r="M136" s="11" t="s">
        <v>17</v>
      </c>
      <c r="N136" s="11" t="s">
        <v>15</v>
      </c>
    </row>
    <row r="137" spans="1:14">
      <c r="A137" s="11">
        <v>136</v>
      </c>
      <c r="B137" s="11">
        <v>15</v>
      </c>
      <c r="C137" s="11">
        <v>1.7</v>
      </c>
      <c r="D137" s="11">
        <v>0.9</v>
      </c>
      <c r="E137" s="11">
        <v>70.1</v>
      </c>
      <c r="F137" s="11">
        <v>1.5</v>
      </c>
      <c r="G137" s="11" t="b">
        <v>0</v>
      </c>
      <c r="H137" s="11" t="b">
        <v>0</v>
      </c>
      <c r="I137" s="11" t="b">
        <v>0</v>
      </c>
      <c r="J137" s="11" t="b">
        <v>0</v>
      </c>
      <c r="K137" s="11" t="b">
        <v>0</v>
      </c>
      <c r="L137" s="11" t="b">
        <v>0</v>
      </c>
      <c r="M137" s="11" t="s">
        <v>18</v>
      </c>
      <c r="N137" s="11" t="s">
        <v>15</v>
      </c>
    </row>
    <row r="138" spans="1:14">
      <c r="A138" s="11">
        <v>137</v>
      </c>
      <c r="B138" s="11">
        <v>16</v>
      </c>
      <c r="C138" s="11">
        <v>3.2</v>
      </c>
      <c r="D138" s="11">
        <v>7.5</v>
      </c>
      <c r="E138" s="11">
        <v>92.8</v>
      </c>
      <c r="F138" s="11">
        <v>2.4</v>
      </c>
      <c r="G138" s="11" t="b">
        <v>0</v>
      </c>
      <c r="H138" s="11" t="b">
        <v>0</v>
      </c>
      <c r="I138" s="11" t="b">
        <v>0</v>
      </c>
      <c r="J138" s="11" t="b">
        <v>0</v>
      </c>
      <c r="K138" s="11" t="b">
        <v>0</v>
      </c>
      <c r="L138" s="11" t="b">
        <v>1</v>
      </c>
      <c r="M138" s="11" t="s">
        <v>17</v>
      </c>
      <c r="N138" s="11" t="s">
        <v>15</v>
      </c>
    </row>
    <row r="139" spans="1:14">
      <c r="A139" s="11">
        <v>138</v>
      </c>
      <c r="B139" s="11">
        <v>14</v>
      </c>
      <c r="C139" s="11">
        <v>3.1</v>
      </c>
      <c r="D139" s="11">
        <v>2.3</v>
      </c>
      <c r="E139" s="11">
        <v>71.55</v>
      </c>
      <c r="F139" s="11">
        <v>1.2</v>
      </c>
      <c r="G139" s="11" t="b">
        <v>0</v>
      </c>
      <c r="H139" s="11" t="b">
        <v>0</v>
      </c>
      <c r="I139" s="11" t="b">
        <v>0</v>
      </c>
      <c r="J139" s="11" t="b">
        <v>1</v>
      </c>
      <c r="K139" s="11" t="b">
        <v>0</v>
      </c>
      <c r="L139" s="11" t="b">
        <v>0</v>
      </c>
      <c r="M139" s="11" t="s">
        <v>14</v>
      </c>
      <c r="N139" s="11" t="s">
        <v>19</v>
      </c>
    </row>
    <row r="140" spans="1:14">
      <c r="A140" s="11">
        <v>139</v>
      </c>
      <c r="B140" s="11">
        <v>14</v>
      </c>
      <c r="C140" s="11">
        <v>2</v>
      </c>
      <c r="D140" s="11">
        <v>6.4</v>
      </c>
      <c r="E140" s="11">
        <v>71.1</v>
      </c>
      <c r="F140" s="11">
        <v>2</v>
      </c>
      <c r="G140" s="11" t="b">
        <v>0</v>
      </c>
      <c r="H140" s="11" t="b">
        <v>0</v>
      </c>
      <c r="I140" s="11" t="b">
        <v>0</v>
      </c>
      <c r="J140" s="11" t="b">
        <v>0</v>
      </c>
      <c r="K140" s="11" t="b">
        <v>0</v>
      </c>
      <c r="L140" s="11" t="b">
        <v>1</v>
      </c>
      <c r="M140" s="11" t="s">
        <v>17</v>
      </c>
      <c r="N140" s="11" t="s">
        <v>19</v>
      </c>
    </row>
    <row r="141" spans="1:14">
      <c r="A141" s="11">
        <v>140</v>
      </c>
      <c r="B141" s="11">
        <v>17</v>
      </c>
      <c r="C141" s="11">
        <v>0.4</v>
      </c>
      <c r="D141" s="11">
        <v>2.8</v>
      </c>
      <c r="E141" s="11">
        <v>81.3</v>
      </c>
      <c r="F141" s="11">
        <v>1.1</v>
      </c>
      <c r="G141" s="11" t="b">
        <v>0</v>
      </c>
      <c r="H141" s="11" t="b">
        <v>0</v>
      </c>
      <c r="I141" s="11" t="b">
        <v>0</v>
      </c>
      <c r="J141" s="11" t="b">
        <v>0</v>
      </c>
      <c r="K141" s="11" t="b">
        <v>0</v>
      </c>
      <c r="L141" s="11" t="b">
        <v>0</v>
      </c>
      <c r="M141" s="11" t="s">
        <v>14</v>
      </c>
      <c r="N141" s="11" t="s">
        <v>16</v>
      </c>
    </row>
    <row r="142" spans="1:14">
      <c r="A142" s="11">
        <v>141</v>
      </c>
      <c r="B142" s="11">
        <v>13</v>
      </c>
      <c r="C142" s="11">
        <v>2.1</v>
      </c>
      <c r="D142" s="11">
        <v>4.8</v>
      </c>
      <c r="E142" s="11">
        <v>64.2</v>
      </c>
      <c r="F142" s="11">
        <v>1.2</v>
      </c>
      <c r="G142" s="11" t="b">
        <v>0</v>
      </c>
      <c r="H142" s="11" t="b">
        <v>0</v>
      </c>
      <c r="I142" s="11" t="b">
        <v>0</v>
      </c>
      <c r="J142" s="11" t="b">
        <v>0</v>
      </c>
      <c r="K142" s="11" t="b">
        <v>0</v>
      </c>
      <c r="L142" s="11" t="b">
        <v>1</v>
      </c>
      <c r="M142" s="11" t="s">
        <v>17</v>
      </c>
      <c r="N142" s="11" t="s">
        <v>19</v>
      </c>
    </row>
    <row r="143" spans="1:14">
      <c r="A143" s="11">
        <v>142</v>
      </c>
      <c r="B143" s="11">
        <v>17</v>
      </c>
      <c r="C143" s="11">
        <v>2.6</v>
      </c>
      <c r="D143" s="11">
        <v>2.6</v>
      </c>
      <c r="E143" s="11">
        <v>60.9</v>
      </c>
      <c r="F143" s="11">
        <v>1.4</v>
      </c>
      <c r="G143" s="11" t="b">
        <v>0</v>
      </c>
      <c r="H143" s="11" t="b">
        <v>0</v>
      </c>
      <c r="I143" s="11" t="b">
        <v>0</v>
      </c>
      <c r="J143" s="11" t="b">
        <v>0</v>
      </c>
      <c r="K143" s="11" t="b">
        <v>0</v>
      </c>
      <c r="L143" s="11" t="b">
        <v>0</v>
      </c>
      <c r="M143" s="11" t="s">
        <v>14</v>
      </c>
      <c r="N143" s="11" t="s">
        <v>16</v>
      </c>
    </row>
    <row r="144" spans="1:14">
      <c r="A144" s="11">
        <v>143</v>
      </c>
      <c r="B144" s="11">
        <v>16</v>
      </c>
      <c r="C144" s="11">
        <v>2.5</v>
      </c>
      <c r="D144" s="11">
        <v>5.5</v>
      </c>
      <c r="E144" s="11">
        <v>61.3</v>
      </c>
      <c r="F144" s="11">
        <v>1.9</v>
      </c>
      <c r="G144" s="11" t="b">
        <v>0</v>
      </c>
      <c r="H144" s="11" t="b">
        <v>0</v>
      </c>
      <c r="I144" s="11" t="b">
        <v>0</v>
      </c>
      <c r="J144" s="11" t="b">
        <v>0</v>
      </c>
      <c r="K144" s="11" t="b">
        <v>0</v>
      </c>
      <c r="L144" s="11" t="b">
        <v>1</v>
      </c>
      <c r="M144" s="11" t="s">
        <v>17</v>
      </c>
      <c r="N144" s="11" t="s">
        <v>15</v>
      </c>
    </row>
    <row r="145" spans="1:14">
      <c r="A145" s="11">
        <v>144</v>
      </c>
      <c r="B145" s="11">
        <v>16</v>
      </c>
      <c r="C145" s="11">
        <v>3.3</v>
      </c>
      <c r="D145" s="11">
        <v>3.6</v>
      </c>
      <c r="E145" s="11">
        <v>53.9</v>
      </c>
      <c r="F145" s="11">
        <v>2.5</v>
      </c>
      <c r="G145" s="11" t="b">
        <v>0</v>
      </c>
      <c r="H145" s="11" t="b">
        <v>0</v>
      </c>
      <c r="I145" s="11" t="b">
        <v>0</v>
      </c>
      <c r="J145" s="11" t="b">
        <v>0</v>
      </c>
      <c r="K145" s="11" t="b">
        <v>0</v>
      </c>
      <c r="L145" s="11" t="b">
        <v>0</v>
      </c>
      <c r="M145" s="11" t="s">
        <v>14</v>
      </c>
      <c r="N145" s="11" t="s">
        <v>15</v>
      </c>
    </row>
    <row r="146" spans="1:14">
      <c r="A146" s="11">
        <v>145</v>
      </c>
      <c r="B146" s="11">
        <v>16</v>
      </c>
      <c r="C146" s="11">
        <v>4.4</v>
      </c>
      <c r="D146" s="11">
        <v>4.7</v>
      </c>
      <c r="E146" s="11">
        <v>83.5</v>
      </c>
      <c r="F146" s="11">
        <v>1.6</v>
      </c>
      <c r="G146" s="11" t="b">
        <v>0</v>
      </c>
      <c r="H146" s="11" t="b">
        <v>0</v>
      </c>
      <c r="I146" s="11" t="b">
        <v>0</v>
      </c>
      <c r="J146" s="11" t="b">
        <v>0</v>
      </c>
      <c r="K146" s="11" t="b">
        <v>0</v>
      </c>
      <c r="L146" s="11" t="b">
        <v>1</v>
      </c>
      <c r="M146" s="11" t="s">
        <v>17</v>
      </c>
      <c r="N146" s="11" t="s">
        <v>15</v>
      </c>
    </row>
    <row r="147" spans="1:14">
      <c r="A147" s="11">
        <v>146</v>
      </c>
      <c r="B147" s="11">
        <v>16</v>
      </c>
      <c r="C147" s="11">
        <v>2.9</v>
      </c>
      <c r="D147" s="11">
        <v>4</v>
      </c>
      <c r="E147" s="11">
        <v>66.7</v>
      </c>
      <c r="F147" s="11">
        <v>0.3</v>
      </c>
      <c r="G147" s="11" t="b">
        <v>0</v>
      </c>
      <c r="H147" s="11" t="b">
        <v>0</v>
      </c>
      <c r="I147" s="11" t="b">
        <v>0</v>
      </c>
      <c r="J147" s="11" t="b">
        <v>0</v>
      </c>
      <c r="K147" s="11" t="b">
        <v>0</v>
      </c>
      <c r="L147" s="11" t="b">
        <v>0</v>
      </c>
      <c r="M147" s="11" t="s">
        <v>14</v>
      </c>
      <c r="N147" s="11" t="s">
        <v>15</v>
      </c>
    </row>
    <row r="148" spans="1:14">
      <c r="A148" s="11">
        <v>147</v>
      </c>
      <c r="B148" s="11">
        <v>16</v>
      </c>
      <c r="C148" s="11">
        <v>3.1</v>
      </c>
      <c r="D148" s="11">
        <v>2</v>
      </c>
      <c r="E148" s="11">
        <v>65.5</v>
      </c>
      <c r="F148" s="11">
        <v>2</v>
      </c>
      <c r="G148" s="11" t="b">
        <v>0</v>
      </c>
      <c r="H148" s="11" t="b">
        <v>0</v>
      </c>
      <c r="I148" s="11" t="b">
        <v>0</v>
      </c>
      <c r="J148" s="11" t="b">
        <v>0</v>
      </c>
      <c r="K148" s="11" t="b">
        <v>0</v>
      </c>
      <c r="L148" s="11" t="b">
        <v>0</v>
      </c>
      <c r="M148" s="11" t="s">
        <v>18</v>
      </c>
      <c r="N148" s="11" t="s">
        <v>15</v>
      </c>
    </row>
    <row r="149" spans="1:14">
      <c r="A149" s="11">
        <v>148</v>
      </c>
      <c r="B149" s="11">
        <v>15</v>
      </c>
      <c r="C149" s="11">
        <v>2.6</v>
      </c>
      <c r="D149" s="11">
        <v>4.8</v>
      </c>
      <c r="E149" s="11">
        <v>48.8</v>
      </c>
      <c r="F149" s="11">
        <v>3.5</v>
      </c>
      <c r="G149" s="11" t="b">
        <v>0</v>
      </c>
      <c r="H149" s="11" t="b">
        <v>0</v>
      </c>
      <c r="I149" s="11" t="b">
        <v>0</v>
      </c>
      <c r="J149" s="11" t="b">
        <v>0</v>
      </c>
      <c r="K149" s="11" t="b">
        <v>0</v>
      </c>
      <c r="L149" s="11" t="b">
        <v>1</v>
      </c>
      <c r="M149" s="11" t="s">
        <v>17</v>
      </c>
      <c r="N149" s="11" t="s">
        <v>15</v>
      </c>
    </row>
    <row r="150" spans="1:14">
      <c r="A150" s="11">
        <v>149</v>
      </c>
      <c r="B150" s="11">
        <v>14</v>
      </c>
      <c r="C150" s="11">
        <v>3.7</v>
      </c>
      <c r="D150" s="11">
        <v>3.2</v>
      </c>
      <c r="E150" s="11">
        <v>55.7</v>
      </c>
      <c r="F150" s="11">
        <v>1.6</v>
      </c>
      <c r="G150" s="11" t="b">
        <v>0</v>
      </c>
      <c r="H150" s="11" t="b">
        <v>0</v>
      </c>
      <c r="I150" s="11" t="b">
        <v>0</v>
      </c>
      <c r="J150" s="11" t="b">
        <v>0</v>
      </c>
      <c r="K150" s="11" t="b">
        <v>0</v>
      </c>
      <c r="L150" s="11" t="b">
        <v>0</v>
      </c>
      <c r="M150" s="11" t="s">
        <v>14</v>
      </c>
      <c r="N150" s="11" t="s">
        <v>19</v>
      </c>
    </row>
    <row r="151" spans="1:14">
      <c r="A151" s="11">
        <v>150</v>
      </c>
      <c r="B151" s="11">
        <v>16</v>
      </c>
      <c r="C151" s="11">
        <v>3</v>
      </c>
      <c r="D151" s="11">
        <v>5.6</v>
      </c>
      <c r="E151" s="11">
        <v>84.7</v>
      </c>
      <c r="F151" s="11">
        <v>0.1</v>
      </c>
      <c r="G151" s="11" t="b">
        <v>0</v>
      </c>
      <c r="H151" s="11" t="b">
        <v>0</v>
      </c>
      <c r="I151" s="11" t="b">
        <v>0</v>
      </c>
      <c r="J151" s="11" t="b">
        <v>0</v>
      </c>
      <c r="K151" s="11" t="b">
        <v>0</v>
      </c>
      <c r="L151" s="11" t="b">
        <v>1</v>
      </c>
      <c r="M151" s="11" t="s">
        <v>17</v>
      </c>
      <c r="N151" s="11" t="s">
        <v>15</v>
      </c>
    </row>
    <row r="152" spans="1:14">
      <c r="A152" s="11">
        <v>151</v>
      </c>
      <c r="B152" s="11">
        <v>13</v>
      </c>
      <c r="C152" s="11">
        <v>3.2</v>
      </c>
      <c r="D152" s="11">
        <v>3.6</v>
      </c>
      <c r="E152" s="11">
        <v>73</v>
      </c>
      <c r="F152" s="11">
        <v>1.6</v>
      </c>
      <c r="G152" s="11" t="b">
        <v>0</v>
      </c>
      <c r="H152" s="11" t="b">
        <v>0</v>
      </c>
      <c r="I152" s="11" t="b">
        <v>0</v>
      </c>
      <c r="J152" s="11" t="b">
        <v>0</v>
      </c>
      <c r="K152" s="11" t="b">
        <v>0</v>
      </c>
      <c r="L152" s="11" t="b">
        <v>0</v>
      </c>
      <c r="M152" s="11" t="s">
        <v>14</v>
      </c>
      <c r="N152" s="11" t="s">
        <v>19</v>
      </c>
    </row>
    <row r="153" spans="1:14">
      <c r="A153" s="11">
        <v>152</v>
      </c>
      <c r="B153" s="11">
        <v>13</v>
      </c>
      <c r="C153" s="11">
        <v>4.3</v>
      </c>
      <c r="D153" s="11">
        <v>3.9</v>
      </c>
      <c r="E153" s="11">
        <v>81.7</v>
      </c>
      <c r="F153" s="11">
        <v>1.5</v>
      </c>
      <c r="G153" s="11" t="b">
        <v>0</v>
      </c>
      <c r="H153" s="11" t="b">
        <v>0</v>
      </c>
      <c r="I153" s="11" t="b">
        <v>0</v>
      </c>
      <c r="J153" s="11" t="b">
        <v>0</v>
      </c>
      <c r="K153" s="11" t="b">
        <v>0</v>
      </c>
      <c r="L153" s="11" t="b">
        <v>0</v>
      </c>
      <c r="M153" s="11" t="s">
        <v>14</v>
      </c>
      <c r="N153" s="11" t="s">
        <v>19</v>
      </c>
    </row>
    <row r="154" spans="1:14">
      <c r="A154" s="11">
        <v>153</v>
      </c>
      <c r="B154" s="11">
        <v>13</v>
      </c>
      <c r="C154" s="11">
        <v>2.7</v>
      </c>
      <c r="D154" s="11">
        <v>6.5</v>
      </c>
      <c r="E154" s="11">
        <v>80.4</v>
      </c>
      <c r="F154" s="11">
        <v>1.4</v>
      </c>
      <c r="G154" s="11" t="b">
        <v>0</v>
      </c>
      <c r="H154" s="11" t="b">
        <v>0</v>
      </c>
      <c r="I154" s="11" t="b">
        <v>0</v>
      </c>
      <c r="J154" s="11" t="b">
        <v>0</v>
      </c>
      <c r="K154" s="11" t="b">
        <v>0</v>
      </c>
      <c r="L154" s="11" t="b">
        <v>1</v>
      </c>
      <c r="M154" s="11" t="s">
        <v>17</v>
      </c>
      <c r="N154" s="11" t="s">
        <v>19</v>
      </c>
    </row>
    <row r="155" spans="1:14">
      <c r="A155" s="11">
        <v>154</v>
      </c>
      <c r="B155" s="11">
        <v>13</v>
      </c>
      <c r="C155" s="11">
        <v>2.2</v>
      </c>
      <c r="D155" s="11">
        <v>7.6</v>
      </c>
      <c r="E155" s="11">
        <v>60</v>
      </c>
      <c r="F155" s="11">
        <v>2.3</v>
      </c>
      <c r="G155" s="11" t="b">
        <v>0</v>
      </c>
      <c r="H155" s="11" t="b">
        <v>0</v>
      </c>
      <c r="I155" s="11" t="b">
        <v>0</v>
      </c>
      <c r="J155" s="11" t="b">
        <v>0</v>
      </c>
      <c r="K155" s="11" t="b">
        <v>0</v>
      </c>
      <c r="L155" s="11" t="b">
        <v>1</v>
      </c>
      <c r="M155" s="11" t="s">
        <v>17</v>
      </c>
      <c r="N155" s="11" t="s">
        <v>19</v>
      </c>
    </row>
    <row r="156" spans="1:14">
      <c r="A156" s="11">
        <v>155</v>
      </c>
      <c r="B156" s="11">
        <v>15</v>
      </c>
      <c r="C156" s="11">
        <v>2.9</v>
      </c>
      <c r="D156" s="11">
        <v>5.2</v>
      </c>
      <c r="E156" s="11">
        <v>94.3</v>
      </c>
      <c r="F156" s="11">
        <v>2.6</v>
      </c>
      <c r="G156" s="11" t="b">
        <v>0</v>
      </c>
      <c r="H156" s="11" t="b">
        <v>0</v>
      </c>
      <c r="I156" s="11" t="b">
        <v>0</v>
      </c>
      <c r="J156" s="11" t="b">
        <v>0</v>
      </c>
      <c r="K156" s="11" t="b">
        <v>0</v>
      </c>
      <c r="L156" s="11" t="b">
        <v>1</v>
      </c>
      <c r="M156" s="11" t="s">
        <v>17</v>
      </c>
      <c r="N156" s="11" t="s">
        <v>15</v>
      </c>
    </row>
    <row r="157" spans="1:14">
      <c r="A157" s="11">
        <v>156</v>
      </c>
      <c r="B157" s="11">
        <v>13</v>
      </c>
      <c r="C157" s="11">
        <v>3.6</v>
      </c>
      <c r="D157" s="11">
        <v>3.6</v>
      </c>
      <c r="E157" s="11">
        <v>89.5</v>
      </c>
      <c r="F157" s="11">
        <v>2</v>
      </c>
      <c r="G157" s="11" t="b">
        <v>0</v>
      </c>
      <c r="H157" s="11" t="b">
        <v>0</v>
      </c>
      <c r="I157" s="11" t="b">
        <v>0</v>
      </c>
      <c r="J157" s="11" t="b">
        <v>0</v>
      </c>
      <c r="K157" s="11" t="b">
        <v>0</v>
      </c>
      <c r="L157" s="11" t="b">
        <v>0</v>
      </c>
      <c r="M157" s="11" t="s">
        <v>14</v>
      </c>
      <c r="N157" s="11" t="s">
        <v>19</v>
      </c>
    </row>
    <row r="158" spans="1:14">
      <c r="A158" s="11">
        <v>157</v>
      </c>
      <c r="B158" s="11">
        <v>16</v>
      </c>
      <c r="C158" s="11">
        <v>3</v>
      </c>
      <c r="D158" s="11">
        <v>3.4</v>
      </c>
      <c r="E158" s="11">
        <v>64.4</v>
      </c>
      <c r="F158" s="11">
        <v>1.4</v>
      </c>
      <c r="G158" s="11" t="b">
        <v>0</v>
      </c>
      <c r="H158" s="11" t="b">
        <v>0</v>
      </c>
      <c r="I158" s="11" t="b">
        <v>0</v>
      </c>
      <c r="J158" s="11" t="b">
        <v>0</v>
      </c>
      <c r="K158" s="11" t="b">
        <v>0</v>
      </c>
      <c r="L158" s="11" t="b">
        <v>0</v>
      </c>
      <c r="M158" s="11" t="s">
        <v>14</v>
      </c>
      <c r="N158" s="11" t="s">
        <v>15</v>
      </c>
    </row>
    <row r="159" spans="1:14">
      <c r="A159" s="11">
        <v>158</v>
      </c>
      <c r="B159" s="11">
        <v>17</v>
      </c>
      <c r="C159" s="11">
        <v>3.6</v>
      </c>
      <c r="D159" s="11">
        <v>2.8</v>
      </c>
      <c r="E159" s="11">
        <v>34.3</v>
      </c>
      <c r="F159" s="11">
        <v>2.4</v>
      </c>
      <c r="G159" s="11" t="b">
        <v>0</v>
      </c>
      <c r="H159" s="11" t="b">
        <v>0</v>
      </c>
      <c r="I159" s="11" t="b">
        <v>0</v>
      </c>
      <c r="J159" s="11" t="b">
        <v>0</v>
      </c>
      <c r="K159" s="11" t="b">
        <v>0</v>
      </c>
      <c r="L159" s="11" t="b">
        <v>0</v>
      </c>
      <c r="M159" s="11" t="s">
        <v>14</v>
      </c>
      <c r="N159" s="11" t="s">
        <v>16</v>
      </c>
    </row>
    <row r="160" spans="1:14">
      <c r="A160" s="11">
        <v>159</v>
      </c>
      <c r="B160" s="11">
        <v>13</v>
      </c>
      <c r="C160" s="11">
        <v>1.8</v>
      </c>
      <c r="D160" s="11">
        <v>3.1</v>
      </c>
      <c r="E160" s="11">
        <v>66.4</v>
      </c>
      <c r="F160" s="11">
        <v>0.3</v>
      </c>
      <c r="G160" s="11" t="b">
        <v>0</v>
      </c>
      <c r="H160" s="11" t="b">
        <v>0</v>
      </c>
      <c r="I160" s="11" t="b">
        <v>0</v>
      </c>
      <c r="J160" s="11" t="b">
        <v>0</v>
      </c>
      <c r="K160" s="11" t="b">
        <v>0</v>
      </c>
      <c r="L160" s="11" t="b">
        <v>0</v>
      </c>
      <c r="M160" s="11" t="s">
        <v>14</v>
      </c>
      <c r="N160" s="11" t="s">
        <v>19</v>
      </c>
    </row>
    <row r="161" spans="1:14">
      <c r="A161" s="11">
        <v>160</v>
      </c>
      <c r="B161" s="11">
        <v>15</v>
      </c>
      <c r="C161" s="11">
        <v>1.6</v>
      </c>
      <c r="D161" s="11">
        <v>3.6</v>
      </c>
      <c r="E161" s="11">
        <v>72.4</v>
      </c>
      <c r="F161" s="11">
        <v>0.9</v>
      </c>
      <c r="G161" s="11" t="b">
        <v>0</v>
      </c>
      <c r="H161" s="11" t="b">
        <v>0</v>
      </c>
      <c r="I161" s="11" t="b">
        <v>0</v>
      </c>
      <c r="J161" s="11" t="b">
        <v>0</v>
      </c>
      <c r="K161" s="11" t="b">
        <v>0</v>
      </c>
      <c r="L161" s="11" t="b">
        <v>0</v>
      </c>
      <c r="M161" s="11" t="s">
        <v>14</v>
      </c>
      <c r="N161" s="11" t="s">
        <v>15</v>
      </c>
    </row>
    <row r="162" spans="1:14">
      <c r="A162" s="11">
        <v>161</v>
      </c>
      <c r="B162" s="11">
        <v>15</v>
      </c>
      <c r="C162" s="11">
        <v>2</v>
      </c>
      <c r="D162" s="11">
        <v>6.9</v>
      </c>
      <c r="E162" s="11">
        <v>64.3</v>
      </c>
      <c r="F162" s="11">
        <v>1</v>
      </c>
      <c r="G162" s="11" t="b">
        <v>0</v>
      </c>
      <c r="H162" s="11" t="b">
        <v>0</v>
      </c>
      <c r="I162" s="11" t="b">
        <v>0</v>
      </c>
      <c r="J162" s="11" t="b">
        <v>0</v>
      </c>
      <c r="K162" s="11" t="b">
        <v>0</v>
      </c>
      <c r="L162" s="11" t="b">
        <v>1</v>
      </c>
      <c r="M162" s="11" t="s">
        <v>17</v>
      </c>
      <c r="N162" s="11" t="s">
        <v>15</v>
      </c>
    </row>
    <row r="163" spans="1:14">
      <c r="A163" s="11">
        <v>162</v>
      </c>
      <c r="B163" s="11">
        <v>13</v>
      </c>
      <c r="C163" s="11">
        <v>1.2</v>
      </c>
      <c r="D163" s="11">
        <v>3.7</v>
      </c>
      <c r="E163" s="11">
        <v>67.8</v>
      </c>
      <c r="F163" s="11">
        <v>1.5</v>
      </c>
      <c r="G163" s="11" t="b">
        <v>0</v>
      </c>
      <c r="H163" s="11" t="b">
        <v>0</v>
      </c>
      <c r="I163" s="11" t="b">
        <v>0</v>
      </c>
      <c r="J163" s="11" t="b">
        <v>0</v>
      </c>
      <c r="K163" s="11" t="b">
        <v>0</v>
      </c>
      <c r="L163" s="11" t="b">
        <v>0</v>
      </c>
      <c r="M163" s="11" t="s">
        <v>14</v>
      </c>
      <c r="N163" s="11" t="s">
        <v>19</v>
      </c>
    </row>
    <row r="164" spans="1:14">
      <c r="A164" s="11">
        <v>163</v>
      </c>
      <c r="B164" s="11">
        <v>17</v>
      </c>
      <c r="C164" s="11">
        <v>2.6</v>
      </c>
      <c r="D164" s="11">
        <v>2.2</v>
      </c>
      <c r="E164" s="11">
        <v>61.7</v>
      </c>
      <c r="F164" s="11">
        <v>1.9</v>
      </c>
      <c r="G164" s="11" t="b">
        <v>0</v>
      </c>
      <c r="H164" s="11" t="b">
        <v>0</v>
      </c>
      <c r="I164" s="11" t="b">
        <v>0</v>
      </c>
      <c r="J164" s="11" t="b">
        <v>0</v>
      </c>
      <c r="K164" s="11" t="b">
        <v>0</v>
      </c>
      <c r="L164" s="11" t="b">
        <v>0</v>
      </c>
      <c r="M164" s="11" t="s">
        <v>14</v>
      </c>
      <c r="N164" s="11" t="s">
        <v>16</v>
      </c>
    </row>
    <row r="165" spans="1:14">
      <c r="A165" s="11">
        <v>164</v>
      </c>
      <c r="B165" s="11">
        <v>13</v>
      </c>
      <c r="C165" s="11">
        <v>2.1</v>
      </c>
      <c r="D165" s="11">
        <v>4.1</v>
      </c>
      <c r="E165" s="11">
        <v>79.2</v>
      </c>
      <c r="F165" s="11">
        <v>1.3</v>
      </c>
      <c r="G165" s="11" t="b">
        <v>0</v>
      </c>
      <c r="H165" s="11" t="b">
        <v>0</v>
      </c>
      <c r="I165" s="11" t="b">
        <v>0</v>
      </c>
      <c r="J165" s="11" t="b">
        <v>0</v>
      </c>
      <c r="K165" s="11" t="b">
        <v>0</v>
      </c>
      <c r="L165" s="11" t="b">
        <v>1</v>
      </c>
      <c r="M165" s="11" t="s">
        <v>17</v>
      </c>
      <c r="N165" s="11" t="s">
        <v>19</v>
      </c>
    </row>
    <row r="166" spans="1:14">
      <c r="A166" s="11">
        <v>165</v>
      </c>
      <c r="B166" s="11">
        <v>15</v>
      </c>
      <c r="C166" s="11">
        <v>3.7</v>
      </c>
      <c r="D166" s="11">
        <v>4.3</v>
      </c>
      <c r="E166" s="11">
        <v>70.6</v>
      </c>
      <c r="F166" s="11">
        <v>0.8</v>
      </c>
      <c r="G166" s="11" t="b">
        <v>0</v>
      </c>
      <c r="H166" s="11" t="b">
        <v>0</v>
      </c>
      <c r="I166" s="11" t="b">
        <v>0</v>
      </c>
      <c r="J166" s="11" t="b">
        <v>0</v>
      </c>
      <c r="K166" s="11" t="b">
        <v>0</v>
      </c>
      <c r="L166" s="11" t="b">
        <v>1</v>
      </c>
      <c r="M166" s="11" t="s">
        <v>17</v>
      </c>
      <c r="N166" s="11" t="s">
        <v>15</v>
      </c>
    </row>
    <row r="167" spans="1:14">
      <c r="A167" s="11">
        <v>166</v>
      </c>
      <c r="B167" s="11">
        <v>14</v>
      </c>
      <c r="C167" s="11">
        <v>1.2</v>
      </c>
      <c r="D167" s="11">
        <v>4.1</v>
      </c>
      <c r="E167" s="11">
        <v>79.5</v>
      </c>
      <c r="F167" s="11">
        <v>2.3</v>
      </c>
      <c r="G167" s="11" t="b">
        <v>0</v>
      </c>
      <c r="H167" s="11" t="b">
        <v>0</v>
      </c>
      <c r="I167" s="11" t="b">
        <v>0</v>
      </c>
      <c r="J167" s="11" t="b">
        <v>0</v>
      </c>
      <c r="K167" s="11" t="b">
        <v>0</v>
      </c>
      <c r="L167" s="11" t="b">
        <v>1</v>
      </c>
      <c r="M167" s="11" t="s">
        <v>17</v>
      </c>
      <c r="N167" s="11" t="s">
        <v>19</v>
      </c>
    </row>
    <row r="168" spans="1:14">
      <c r="A168" s="11">
        <v>167</v>
      </c>
      <c r="B168" s="11">
        <v>16</v>
      </c>
      <c r="C168" s="11">
        <v>4.1</v>
      </c>
      <c r="D168" s="11">
        <v>5.2</v>
      </c>
      <c r="E168" s="11">
        <v>82.2</v>
      </c>
      <c r="F168" s="11">
        <v>1.3</v>
      </c>
      <c r="G168" s="11" t="b">
        <v>0</v>
      </c>
      <c r="H168" s="11" t="b">
        <v>0</v>
      </c>
      <c r="I168" s="11" t="b">
        <v>0</v>
      </c>
      <c r="J168" s="11" t="b">
        <v>0</v>
      </c>
      <c r="K168" s="11" t="b">
        <v>0</v>
      </c>
      <c r="L168" s="11" t="b">
        <v>1</v>
      </c>
      <c r="M168" s="11" t="s">
        <v>17</v>
      </c>
      <c r="N168" s="11" t="s">
        <v>15</v>
      </c>
    </row>
    <row r="169" spans="1:14">
      <c r="A169" s="11">
        <v>168</v>
      </c>
      <c r="B169" s="11">
        <v>15</v>
      </c>
      <c r="C169" s="11">
        <v>1.5</v>
      </c>
      <c r="D169" s="11">
        <v>4.1</v>
      </c>
      <c r="E169" s="11">
        <v>48.3</v>
      </c>
      <c r="F169" s="11">
        <v>1.6</v>
      </c>
      <c r="G169" s="11" t="b">
        <v>0</v>
      </c>
      <c r="H169" s="11" t="b">
        <v>0</v>
      </c>
      <c r="I169" s="11" t="b">
        <v>0</v>
      </c>
      <c r="J169" s="11" t="b">
        <v>0</v>
      </c>
      <c r="K169" s="11" t="b">
        <v>0</v>
      </c>
      <c r="L169" s="11" t="b">
        <v>1</v>
      </c>
      <c r="M169" s="11" t="s">
        <v>17</v>
      </c>
      <c r="N169" s="11" t="s">
        <v>15</v>
      </c>
    </row>
    <row r="170" spans="1:14">
      <c r="A170" s="11">
        <v>169</v>
      </c>
      <c r="B170" s="11">
        <v>13</v>
      </c>
      <c r="C170" s="11">
        <v>1.3</v>
      </c>
      <c r="D170" s="11">
        <v>5.2</v>
      </c>
      <c r="E170" s="11">
        <v>62.3</v>
      </c>
      <c r="F170" s="11">
        <v>1.9</v>
      </c>
      <c r="G170" s="11" t="b">
        <v>0</v>
      </c>
      <c r="H170" s="11" t="b">
        <v>0</v>
      </c>
      <c r="I170" s="11" t="b">
        <v>0</v>
      </c>
      <c r="J170" s="11" t="b">
        <v>0</v>
      </c>
      <c r="K170" s="11" t="b">
        <v>0</v>
      </c>
      <c r="L170" s="11" t="b">
        <v>1</v>
      </c>
      <c r="M170" s="11" t="s">
        <v>17</v>
      </c>
      <c r="N170" s="11" t="s">
        <v>19</v>
      </c>
    </row>
    <row r="171" spans="1:14">
      <c r="A171" s="11">
        <v>170</v>
      </c>
      <c r="B171" s="11">
        <v>16</v>
      </c>
      <c r="C171" s="11">
        <v>1.7</v>
      </c>
      <c r="D171" s="11">
        <v>2.8</v>
      </c>
      <c r="E171" s="11">
        <v>63.8</v>
      </c>
      <c r="F171" s="11">
        <v>1.5</v>
      </c>
      <c r="G171" s="11" t="b">
        <v>0</v>
      </c>
      <c r="H171" s="11" t="b">
        <v>0</v>
      </c>
      <c r="I171" s="11" t="b">
        <v>0</v>
      </c>
      <c r="J171" s="11" t="b">
        <v>0</v>
      </c>
      <c r="K171" s="11" t="b">
        <v>0</v>
      </c>
      <c r="L171" s="11" t="b">
        <v>0</v>
      </c>
      <c r="M171" s="11" t="s">
        <v>14</v>
      </c>
      <c r="N171" s="11" t="s">
        <v>15</v>
      </c>
    </row>
    <row r="172" spans="1:14">
      <c r="A172" s="11">
        <v>171</v>
      </c>
      <c r="B172" s="11">
        <v>13</v>
      </c>
      <c r="C172" s="11">
        <v>4.5</v>
      </c>
      <c r="D172" s="11">
        <v>4.1</v>
      </c>
      <c r="E172" s="11">
        <v>95.7</v>
      </c>
      <c r="F172" s="11">
        <v>1.5</v>
      </c>
      <c r="G172" s="11" t="b">
        <v>0</v>
      </c>
      <c r="H172" s="11" t="b">
        <v>0</v>
      </c>
      <c r="I172" s="11" t="b">
        <v>1</v>
      </c>
      <c r="J172" s="11" t="b">
        <v>0</v>
      </c>
      <c r="K172" s="11" t="b">
        <v>0</v>
      </c>
      <c r="L172" s="11" t="b">
        <v>1</v>
      </c>
      <c r="M172" s="11" t="s">
        <v>17</v>
      </c>
      <c r="N172" s="11" t="s">
        <v>19</v>
      </c>
    </row>
    <row r="173" spans="1:14">
      <c r="A173" s="11">
        <v>172</v>
      </c>
      <c r="B173" s="11">
        <v>13</v>
      </c>
      <c r="C173" s="11">
        <v>2.5</v>
      </c>
      <c r="D173" s="11">
        <v>4.4</v>
      </c>
      <c r="E173" s="11">
        <v>71.5</v>
      </c>
      <c r="F173" s="11">
        <v>2.3</v>
      </c>
      <c r="G173" s="11" t="b">
        <v>0</v>
      </c>
      <c r="H173" s="11" t="b">
        <v>0</v>
      </c>
      <c r="I173" s="11" t="b">
        <v>0</v>
      </c>
      <c r="J173" s="11" t="b">
        <v>0</v>
      </c>
      <c r="K173" s="11" t="b">
        <v>0</v>
      </c>
      <c r="L173" s="11" t="b">
        <v>1</v>
      </c>
      <c r="M173" s="11" t="s">
        <v>17</v>
      </c>
      <c r="N173" s="11" t="s">
        <v>19</v>
      </c>
    </row>
    <row r="174" spans="1:14">
      <c r="A174" s="11">
        <v>173</v>
      </c>
      <c r="B174" s="11">
        <v>14</v>
      </c>
      <c r="C174" s="11">
        <v>3</v>
      </c>
      <c r="D174" s="11">
        <v>4.6</v>
      </c>
      <c r="E174" s="11">
        <v>71.55</v>
      </c>
      <c r="F174" s="11">
        <v>1.6</v>
      </c>
      <c r="G174" s="11" t="b">
        <v>0</v>
      </c>
      <c r="H174" s="11" t="b">
        <v>0</v>
      </c>
      <c r="I174" s="11" t="b">
        <v>0</v>
      </c>
      <c r="J174" s="11" t="b">
        <v>1</v>
      </c>
      <c r="K174" s="11" t="b">
        <v>0</v>
      </c>
      <c r="L174" s="11" t="b">
        <v>1</v>
      </c>
      <c r="M174" s="11" t="s">
        <v>17</v>
      </c>
      <c r="N174" s="11" t="s">
        <v>19</v>
      </c>
    </row>
    <row r="175" spans="1:14">
      <c r="A175" s="11">
        <v>174</v>
      </c>
      <c r="B175" s="11">
        <v>16</v>
      </c>
      <c r="C175" s="11">
        <v>2.3</v>
      </c>
      <c r="D175" s="11">
        <v>2.8</v>
      </c>
      <c r="E175" s="11">
        <v>51.2</v>
      </c>
      <c r="F175" s="11">
        <v>2.2</v>
      </c>
      <c r="G175" s="11" t="b">
        <v>0</v>
      </c>
      <c r="H175" s="11" t="b">
        <v>0</v>
      </c>
      <c r="I175" s="11" t="b">
        <v>0</v>
      </c>
      <c r="J175" s="11" t="b">
        <v>0</v>
      </c>
      <c r="K175" s="11" t="b">
        <v>0</v>
      </c>
      <c r="L175" s="11" t="b">
        <v>0</v>
      </c>
      <c r="M175" s="11" t="s">
        <v>14</v>
      </c>
      <c r="N175" s="11" t="s">
        <v>15</v>
      </c>
    </row>
    <row r="176" spans="1:14">
      <c r="A176" s="11">
        <v>175</v>
      </c>
      <c r="B176" s="11">
        <v>16</v>
      </c>
      <c r="C176" s="11">
        <v>2.4</v>
      </c>
      <c r="D176" s="11">
        <v>4.7</v>
      </c>
      <c r="E176" s="11">
        <v>71.4</v>
      </c>
      <c r="F176" s="11">
        <v>1.9</v>
      </c>
      <c r="G176" s="11" t="b">
        <v>0</v>
      </c>
      <c r="H176" s="11" t="b">
        <v>0</v>
      </c>
      <c r="I176" s="11" t="b">
        <v>0</v>
      </c>
      <c r="J176" s="11" t="b">
        <v>0</v>
      </c>
      <c r="K176" s="11" t="b">
        <v>0</v>
      </c>
      <c r="L176" s="11" t="b">
        <v>1</v>
      </c>
      <c r="M176" s="11" t="s">
        <v>17</v>
      </c>
      <c r="N176" s="11" t="s">
        <v>15</v>
      </c>
    </row>
    <row r="177" spans="1:14">
      <c r="A177" s="11">
        <v>176</v>
      </c>
      <c r="B177" s="11">
        <v>14</v>
      </c>
      <c r="C177" s="11">
        <v>2</v>
      </c>
      <c r="D177" s="11">
        <v>5</v>
      </c>
      <c r="E177" s="11">
        <v>79.8</v>
      </c>
      <c r="F177" s="11">
        <v>3.1</v>
      </c>
      <c r="G177" s="11" t="b">
        <v>0</v>
      </c>
      <c r="H177" s="11" t="b">
        <v>0</v>
      </c>
      <c r="I177" s="11" t="b">
        <v>0</v>
      </c>
      <c r="J177" s="11" t="b">
        <v>0</v>
      </c>
      <c r="K177" s="11" t="b">
        <v>0</v>
      </c>
      <c r="L177" s="11" t="b">
        <v>1</v>
      </c>
      <c r="M177" s="11" t="s">
        <v>17</v>
      </c>
      <c r="N177" s="11" t="s">
        <v>19</v>
      </c>
    </row>
    <row r="178" spans="1:14">
      <c r="A178" s="11">
        <v>177</v>
      </c>
      <c r="B178" s="11">
        <v>15</v>
      </c>
      <c r="C178" s="11">
        <v>2.6</v>
      </c>
      <c r="D178" s="11">
        <v>2.2</v>
      </c>
      <c r="E178" s="11">
        <v>78.6</v>
      </c>
      <c r="F178" s="11">
        <v>1.8</v>
      </c>
      <c r="G178" s="11" t="b">
        <v>0</v>
      </c>
      <c r="H178" s="11" t="b">
        <v>0</v>
      </c>
      <c r="I178" s="11" t="b">
        <v>0</v>
      </c>
      <c r="J178" s="11" t="b">
        <v>0</v>
      </c>
      <c r="K178" s="11" t="b">
        <v>0</v>
      </c>
      <c r="L178" s="11" t="b">
        <v>0</v>
      </c>
      <c r="M178" s="11" t="s">
        <v>14</v>
      </c>
      <c r="N178" s="11" t="s">
        <v>15</v>
      </c>
    </row>
    <row r="179" spans="1:14">
      <c r="A179" s="11">
        <v>178</v>
      </c>
      <c r="B179" s="11">
        <v>13</v>
      </c>
      <c r="C179" s="11">
        <v>3</v>
      </c>
      <c r="D179" s="11">
        <v>1.5</v>
      </c>
      <c r="E179" s="11">
        <v>76.2</v>
      </c>
      <c r="F179" s="11">
        <v>2</v>
      </c>
      <c r="G179" s="11" t="b">
        <v>0</v>
      </c>
      <c r="H179" s="11" t="b">
        <v>0</v>
      </c>
      <c r="I179" s="11" t="b">
        <v>0</v>
      </c>
      <c r="J179" s="11" t="b">
        <v>0</v>
      </c>
      <c r="K179" s="11" t="b">
        <v>0</v>
      </c>
      <c r="L179" s="11" t="b">
        <v>0</v>
      </c>
      <c r="M179" s="11" t="s">
        <v>18</v>
      </c>
      <c r="N179" s="11" t="s">
        <v>19</v>
      </c>
    </row>
    <row r="180" spans="1:14">
      <c r="A180" s="11">
        <v>179</v>
      </c>
      <c r="B180" s="11">
        <v>17</v>
      </c>
      <c r="C180" s="11">
        <v>4.2</v>
      </c>
      <c r="D180" s="11">
        <v>4.4</v>
      </c>
      <c r="E180" s="11">
        <v>70.1</v>
      </c>
      <c r="F180" s="11">
        <v>2.4</v>
      </c>
      <c r="G180" s="11" t="b">
        <v>0</v>
      </c>
      <c r="H180" s="11" t="b">
        <v>0</v>
      </c>
      <c r="I180" s="11" t="b">
        <v>0</v>
      </c>
      <c r="J180" s="11" t="b">
        <v>0</v>
      </c>
      <c r="K180" s="11" t="b">
        <v>0</v>
      </c>
      <c r="L180" s="11" t="b">
        <v>1</v>
      </c>
      <c r="M180" s="11" t="s">
        <v>17</v>
      </c>
      <c r="N180" s="11" t="s">
        <v>16</v>
      </c>
    </row>
    <row r="181" spans="1:14">
      <c r="A181" s="11">
        <v>180</v>
      </c>
      <c r="B181" s="11">
        <v>13</v>
      </c>
      <c r="C181" s="11">
        <v>0.6</v>
      </c>
      <c r="D181" s="11">
        <v>3.3</v>
      </c>
      <c r="E181" s="11">
        <v>70.6</v>
      </c>
      <c r="F181" s="11">
        <v>1.6</v>
      </c>
      <c r="G181" s="11" t="b">
        <v>0</v>
      </c>
      <c r="H181" s="11" t="b">
        <v>0</v>
      </c>
      <c r="I181" s="11" t="b">
        <v>0</v>
      </c>
      <c r="J181" s="11" t="b">
        <v>0</v>
      </c>
      <c r="K181" s="11" t="b">
        <v>0</v>
      </c>
      <c r="L181" s="11" t="b">
        <v>0</v>
      </c>
      <c r="M181" s="11" t="s">
        <v>14</v>
      </c>
      <c r="N181" s="11" t="s">
        <v>19</v>
      </c>
    </row>
    <row r="182" spans="1:14">
      <c r="A182" s="11">
        <v>181</v>
      </c>
      <c r="B182" s="11">
        <v>13</v>
      </c>
      <c r="C182" s="11">
        <v>4.1</v>
      </c>
      <c r="D182" s="11">
        <v>4.4</v>
      </c>
      <c r="E182" s="11">
        <v>53.1</v>
      </c>
      <c r="F182" s="11">
        <v>1</v>
      </c>
      <c r="G182" s="11" t="b">
        <v>0</v>
      </c>
      <c r="H182" s="11" t="b">
        <v>0</v>
      </c>
      <c r="I182" s="11" t="b">
        <v>0</v>
      </c>
      <c r="J182" s="11" t="b">
        <v>0</v>
      </c>
      <c r="K182" s="11" t="b">
        <v>0</v>
      </c>
      <c r="L182" s="11" t="b">
        <v>1</v>
      </c>
      <c r="M182" s="11" t="s">
        <v>17</v>
      </c>
      <c r="N182" s="11" t="s">
        <v>19</v>
      </c>
    </row>
    <row r="183" spans="1:14">
      <c r="A183" s="11">
        <v>182</v>
      </c>
      <c r="B183" s="11">
        <v>15</v>
      </c>
      <c r="C183" s="11">
        <v>3</v>
      </c>
      <c r="D183" s="11">
        <v>2.1</v>
      </c>
      <c r="E183" s="11">
        <v>61</v>
      </c>
      <c r="F183" s="11">
        <v>1.1</v>
      </c>
      <c r="G183" s="11" t="b">
        <v>0</v>
      </c>
      <c r="H183" s="11" t="b">
        <v>0</v>
      </c>
      <c r="I183" s="11" t="b">
        <v>0</v>
      </c>
      <c r="J183" s="11" t="b">
        <v>0</v>
      </c>
      <c r="K183" s="11" t="b">
        <v>0</v>
      </c>
      <c r="L183" s="11" t="b">
        <v>0</v>
      </c>
      <c r="M183" s="11" t="s">
        <v>14</v>
      </c>
      <c r="N183" s="11" t="s">
        <v>15</v>
      </c>
    </row>
    <row r="184" spans="1:14">
      <c r="A184" s="11">
        <v>183</v>
      </c>
      <c r="B184" s="11">
        <v>13</v>
      </c>
      <c r="C184" s="11">
        <v>2.1</v>
      </c>
      <c r="D184" s="11">
        <v>1.7</v>
      </c>
      <c r="E184" s="11">
        <v>72.3</v>
      </c>
      <c r="F184" s="11">
        <v>1.1</v>
      </c>
      <c r="G184" s="11" t="b">
        <v>0</v>
      </c>
      <c r="H184" s="11" t="b">
        <v>0</v>
      </c>
      <c r="I184" s="11" t="b">
        <v>0</v>
      </c>
      <c r="J184" s="11" t="b">
        <v>0</v>
      </c>
      <c r="K184" s="11" t="b">
        <v>0</v>
      </c>
      <c r="L184" s="11" t="b">
        <v>0</v>
      </c>
      <c r="M184" s="11" t="s">
        <v>18</v>
      </c>
      <c r="N184" s="11" t="s">
        <v>19</v>
      </c>
    </row>
    <row r="185" spans="1:14">
      <c r="A185" s="11">
        <v>184</v>
      </c>
      <c r="B185" s="11">
        <v>14</v>
      </c>
      <c r="C185" s="11">
        <v>2</v>
      </c>
      <c r="D185" s="11">
        <v>4.3</v>
      </c>
      <c r="E185" s="11">
        <v>62.8</v>
      </c>
      <c r="F185" s="11">
        <v>0.7</v>
      </c>
      <c r="G185" s="11" t="b">
        <v>0</v>
      </c>
      <c r="H185" s="11" t="b">
        <v>0</v>
      </c>
      <c r="I185" s="11" t="b">
        <v>0</v>
      </c>
      <c r="J185" s="11" t="b">
        <v>0</v>
      </c>
      <c r="K185" s="11" t="b">
        <v>0</v>
      </c>
      <c r="L185" s="11" t="b">
        <v>1</v>
      </c>
      <c r="M185" s="11" t="s">
        <v>17</v>
      </c>
      <c r="N185" s="11" t="s">
        <v>19</v>
      </c>
    </row>
    <row r="186" spans="1:14">
      <c r="A186" s="11">
        <v>185</v>
      </c>
      <c r="B186" s="11">
        <v>14</v>
      </c>
      <c r="C186" s="11">
        <v>3.5</v>
      </c>
      <c r="D186" s="11">
        <v>3.5</v>
      </c>
      <c r="E186" s="11">
        <v>76.9</v>
      </c>
      <c r="F186" s="11">
        <v>1.8</v>
      </c>
      <c r="G186" s="11" t="b">
        <v>0</v>
      </c>
      <c r="H186" s="11" t="b">
        <v>0</v>
      </c>
      <c r="I186" s="11" t="b">
        <v>0</v>
      </c>
      <c r="J186" s="11" t="b">
        <v>0</v>
      </c>
      <c r="K186" s="11" t="b">
        <v>0</v>
      </c>
      <c r="L186" s="11" t="b">
        <v>0</v>
      </c>
      <c r="M186" s="11" t="s">
        <v>14</v>
      </c>
      <c r="N186" s="11" t="s">
        <v>19</v>
      </c>
    </row>
    <row r="187" spans="1:14">
      <c r="A187" s="11">
        <v>186</v>
      </c>
      <c r="B187" s="11">
        <v>16</v>
      </c>
      <c r="C187" s="11">
        <v>2.7</v>
      </c>
      <c r="D187" s="11">
        <v>4.1</v>
      </c>
      <c r="E187" s="11">
        <v>74.7</v>
      </c>
      <c r="F187" s="11">
        <v>1</v>
      </c>
      <c r="G187" s="11" t="b">
        <v>0</v>
      </c>
      <c r="H187" s="11" t="b">
        <v>0</v>
      </c>
      <c r="I187" s="11" t="b">
        <v>1</v>
      </c>
      <c r="J187" s="11" t="b">
        <v>0</v>
      </c>
      <c r="K187" s="11" t="b">
        <v>0</v>
      </c>
      <c r="L187" s="11" t="b">
        <v>1</v>
      </c>
      <c r="M187" s="11" t="s">
        <v>17</v>
      </c>
      <c r="N187" s="11" t="s">
        <v>15</v>
      </c>
    </row>
    <row r="188" spans="1:14">
      <c r="A188" s="11">
        <v>187</v>
      </c>
      <c r="B188" s="11">
        <v>17</v>
      </c>
      <c r="C188" s="11">
        <v>1</v>
      </c>
      <c r="D188" s="11">
        <v>6</v>
      </c>
      <c r="E188" s="11">
        <v>83.7</v>
      </c>
      <c r="F188" s="11">
        <v>1.7</v>
      </c>
      <c r="G188" s="11" t="b">
        <v>0</v>
      </c>
      <c r="H188" s="11" t="b">
        <v>0</v>
      </c>
      <c r="I188" s="11" t="b">
        <v>0</v>
      </c>
      <c r="J188" s="11" t="b">
        <v>0</v>
      </c>
      <c r="K188" s="11" t="b">
        <v>0</v>
      </c>
      <c r="L188" s="11" t="b">
        <v>1</v>
      </c>
      <c r="M188" s="11" t="s">
        <v>17</v>
      </c>
      <c r="N188" s="11" t="s">
        <v>16</v>
      </c>
    </row>
    <row r="189" spans="1:14">
      <c r="A189" s="11">
        <v>188</v>
      </c>
      <c r="B189" s="11">
        <v>13</v>
      </c>
      <c r="C189" s="11">
        <v>2.9</v>
      </c>
      <c r="D189" s="11">
        <v>2</v>
      </c>
      <c r="E189" s="11">
        <v>79.6</v>
      </c>
      <c r="F189" s="11">
        <v>1.4</v>
      </c>
      <c r="G189" s="11" t="b">
        <v>0</v>
      </c>
      <c r="H189" s="11" t="b">
        <v>0</v>
      </c>
      <c r="I189" s="11" t="b">
        <v>0</v>
      </c>
      <c r="J189" s="11" t="b">
        <v>0</v>
      </c>
      <c r="K189" s="11" t="b">
        <v>0</v>
      </c>
      <c r="L189" s="11" t="b">
        <v>0</v>
      </c>
      <c r="M189" s="11" t="s">
        <v>18</v>
      </c>
      <c r="N189" s="11" t="s">
        <v>19</v>
      </c>
    </row>
    <row r="190" spans="1:14">
      <c r="A190" s="11">
        <v>189</v>
      </c>
      <c r="B190" s="11">
        <v>13</v>
      </c>
      <c r="C190" s="11">
        <v>3.6</v>
      </c>
      <c r="D190" s="11">
        <v>7.9</v>
      </c>
      <c r="E190" s="11">
        <v>72.3</v>
      </c>
      <c r="F190" s="11">
        <v>1.5</v>
      </c>
      <c r="G190" s="11" t="b">
        <v>0</v>
      </c>
      <c r="H190" s="11" t="b">
        <v>0</v>
      </c>
      <c r="I190" s="11" t="b">
        <v>0</v>
      </c>
      <c r="J190" s="11" t="b">
        <v>0</v>
      </c>
      <c r="K190" s="11" t="b">
        <v>0</v>
      </c>
      <c r="L190" s="11" t="b">
        <v>1</v>
      </c>
      <c r="M190" s="11" t="s">
        <v>17</v>
      </c>
      <c r="N190" s="11" t="s">
        <v>19</v>
      </c>
    </row>
    <row r="191" spans="1:14">
      <c r="A191" s="11">
        <v>190</v>
      </c>
      <c r="B191" s="11">
        <v>15</v>
      </c>
      <c r="C191" s="11">
        <v>3.4</v>
      </c>
      <c r="D191" s="11">
        <v>3.1</v>
      </c>
      <c r="E191" s="11">
        <v>77.5</v>
      </c>
      <c r="F191" s="11">
        <v>1.9</v>
      </c>
      <c r="G191" s="11" t="b">
        <v>0</v>
      </c>
      <c r="H191" s="11" t="b">
        <v>0</v>
      </c>
      <c r="I191" s="11" t="b">
        <v>0</v>
      </c>
      <c r="J191" s="11" t="b">
        <v>0</v>
      </c>
      <c r="K191" s="11" t="b">
        <v>0</v>
      </c>
      <c r="L191" s="11" t="b">
        <v>0</v>
      </c>
      <c r="M191" s="11" t="s">
        <v>14</v>
      </c>
      <c r="N191" s="11" t="s">
        <v>15</v>
      </c>
    </row>
    <row r="192" spans="1:14">
      <c r="A192" s="11">
        <v>191</v>
      </c>
      <c r="B192" s="11">
        <v>14</v>
      </c>
      <c r="C192" s="11">
        <v>1.9</v>
      </c>
      <c r="D192" s="11">
        <v>4.6</v>
      </c>
      <c r="E192" s="11">
        <v>80.1</v>
      </c>
      <c r="F192" s="11">
        <v>1.1</v>
      </c>
      <c r="G192" s="11" t="b">
        <v>0</v>
      </c>
      <c r="H192" s="11" t="b">
        <v>0</v>
      </c>
      <c r="I192" s="11" t="b">
        <v>0</v>
      </c>
      <c r="J192" s="11" t="b">
        <v>0</v>
      </c>
      <c r="K192" s="11" t="b">
        <v>0</v>
      </c>
      <c r="L192" s="11" t="b">
        <v>1</v>
      </c>
      <c r="M192" s="11" t="s">
        <v>17</v>
      </c>
      <c r="N192" s="11" t="s">
        <v>19</v>
      </c>
    </row>
    <row r="193" spans="1:14">
      <c r="A193" s="11">
        <v>192</v>
      </c>
      <c r="B193" s="11">
        <v>17</v>
      </c>
      <c r="C193" s="11">
        <v>1.2</v>
      </c>
      <c r="D193" s="11">
        <v>6.5</v>
      </c>
      <c r="E193" s="11">
        <v>64.9</v>
      </c>
      <c r="F193" s="11">
        <v>2</v>
      </c>
      <c r="G193" s="11" t="b">
        <v>0</v>
      </c>
      <c r="H193" s="11" t="b">
        <v>0</v>
      </c>
      <c r="I193" s="11" t="b">
        <v>0</v>
      </c>
      <c r="J193" s="11" t="b">
        <v>0</v>
      </c>
      <c r="K193" s="11" t="b">
        <v>0</v>
      </c>
      <c r="L193" s="11" t="b">
        <v>1</v>
      </c>
      <c r="M193" s="11" t="s">
        <v>17</v>
      </c>
      <c r="N193" s="11" t="s">
        <v>16</v>
      </c>
    </row>
    <row r="194" spans="1:14">
      <c r="A194" s="11">
        <v>193</v>
      </c>
      <c r="B194" s="11">
        <v>16</v>
      </c>
      <c r="C194" s="11">
        <v>2.2</v>
      </c>
      <c r="D194" s="11">
        <v>6.2</v>
      </c>
      <c r="E194" s="11">
        <v>66.7</v>
      </c>
      <c r="F194" s="11">
        <v>2.8</v>
      </c>
      <c r="G194" s="11" t="b">
        <v>0</v>
      </c>
      <c r="H194" s="11" t="b">
        <v>0</v>
      </c>
      <c r="I194" s="11" t="b">
        <v>0</v>
      </c>
      <c r="J194" s="11" t="b">
        <v>0</v>
      </c>
      <c r="K194" s="11" t="b">
        <v>0</v>
      </c>
      <c r="L194" s="11" t="b">
        <v>1</v>
      </c>
      <c r="M194" s="11" t="s">
        <v>17</v>
      </c>
      <c r="N194" s="11" t="s">
        <v>15</v>
      </c>
    </row>
    <row r="195" spans="1:14">
      <c r="A195" s="11">
        <v>194</v>
      </c>
      <c r="B195" s="11">
        <v>14</v>
      </c>
      <c r="C195" s="11">
        <v>5.8</v>
      </c>
      <c r="D195" s="11">
        <v>7</v>
      </c>
      <c r="E195" s="11">
        <v>69</v>
      </c>
      <c r="F195" s="11">
        <v>1.8</v>
      </c>
      <c r="G195" s="11" t="b">
        <v>0</v>
      </c>
      <c r="H195" s="11" t="b">
        <v>0</v>
      </c>
      <c r="I195" s="11" t="b">
        <v>0</v>
      </c>
      <c r="J195" s="11" t="b">
        <v>0</v>
      </c>
      <c r="K195" s="11" t="b">
        <v>0</v>
      </c>
      <c r="L195" s="11" t="b">
        <v>1</v>
      </c>
      <c r="M195" s="11" t="s">
        <v>17</v>
      </c>
      <c r="N195" s="11" t="s">
        <v>19</v>
      </c>
    </row>
    <row r="196" spans="1:14">
      <c r="A196" s="11">
        <v>195</v>
      </c>
      <c r="B196" s="11">
        <v>16</v>
      </c>
      <c r="C196" s="11">
        <v>1</v>
      </c>
      <c r="D196" s="11">
        <v>1.7</v>
      </c>
      <c r="E196" s="11">
        <v>65.2</v>
      </c>
      <c r="F196" s="11">
        <v>0.9</v>
      </c>
      <c r="G196" s="11" t="b">
        <v>0</v>
      </c>
      <c r="H196" s="11" t="b">
        <v>0</v>
      </c>
      <c r="I196" s="11" t="b">
        <v>0</v>
      </c>
      <c r="J196" s="11" t="b">
        <v>0</v>
      </c>
      <c r="K196" s="11" t="b">
        <v>0</v>
      </c>
      <c r="L196" s="11" t="b">
        <v>0</v>
      </c>
      <c r="M196" s="11" t="s">
        <v>18</v>
      </c>
      <c r="N196" s="11" t="s">
        <v>15</v>
      </c>
    </row>
    <row r="197" spans="1:14">
      <c r="A197" s="11">
        <v>196</v>
      </c>
      <c r="B197" s="11">
        <v>15</v>
      </c>
      <c r="C197" s="11">
        <v>1.7</v>
      </c>
      <c r="D197" s="11">
        <v>2.3</v>
      </c>
      <c r="E197" s="11">
        <v>80.2</v>
      </c>
      <c r="F197" s="11">
        <v>1</v>
      </c>
      <c r="G197" s="11" t="b">
        <v>0</v>
      </c>
      <c r="H197" s="11" t="b">
        <v>0</v>
      </c>
      <c r="I197" s="11" t="b">
        <v>0</v>
      </c>
      <c r="J197" s="11" t="b">
        <v>0</v>
      </c>
      <c r="K197" s="11" t="b">
        <v>0</v>
      </c>
      <c r="L197" s="11" t="b">
        <v>0</v>
      </c>
      <c r="M197" s="11" t="s">
        <v>14</v>
      </c>
      <c r="N197" s="11" t="s">
        <v>15</v>
      </c>
    </row>
    <row r="198" spans="1:14">
      <c r="A198" s="11">
        <v>197</v>
      </c>
      <c r="B198" s="11">
        <v>15</v>
      </c>
      <c r="C198" s="11">
        <v>2.9</v>
      </c>
      <c r="D198" s="11">
        <v>4.3</v>
      </c>
      <c r="E198" s="11">
        <v>63.7</v>
      </c>
      <c r="F198" s="11">
        <v>1.3</v>
      </c>
      <c r="G198" s="11" t="b">
        <v>0</v>
      </c>
      <c r="H198" s="11" t="b">
        <v>0</v>
      </c>
      <c r="I198" s="11" t="b">
        <v>0</v>
      </c>
      <c r="J198" s="11" t="b">
        <v>0</v>
      </c>
      <c r="K198" s="11" t="b">
        <v>0</v>
      </c>
      <c r="L198" s="11" t="b">
        <v>1</v>
      </c>
      <c r="M198" s="11" t="s">
        <v>17</v>
      </c>
      <c r="N198" s="11" t="s">
        <v>15</v>
      </c>
    </row>
    <row r="199" spans="1:14">
      <c r="A199" s="11">
        <v>198</v>
      </c>
      <c r="B199" s="11">
        <v>13</v>
      </c>
      <c r="C199" s="11">
        <v>2.4</v>
      </c>
      <c r="D199" s="11">
        <v>5.3</v>
      </c>
      <c r="E199" s="11">
        <v>82.5</v>
      </c>
      <c r="F199" s="11">
        <v>1</v>
      </c>
      <c r="G199" s="11" t="b">
        <v>0</v>
      </c>
      <c r="H199" s="11" t="b">
        <v>0</v>
      </c>
      <c r="I199" s="11" t="b">
        <v>0</v>
      </c>
      <c r="J199" s="11" t="b">
        <v>0</v>
      </c>
      <c r="K199" s="11" t="b">
        <v>0</v>
      </c>
      <c r="L199" s="11" t="b">
        <v>1</v>
      </c>
      <c r="M199" s="11" t="s">
        <v>17</v>
      </c>
      <c r="N199" s="11" t="s">
        <v>19</v>
      </c>
    </row>
    <row r="200" spans="1:14">
      <c r="A200" s="11">
        <v>199</v>
      </c>
      <c r="B200" s="11">
        <v>17</v>
      </c>
      <c r="C200" s="11">
        <v>2.3</v>
      </c>
      <c r="D200" s="11">
        <v>4</v>
      </c>
      <c r="E200" s="11">
        <v>66.3</v>
      </c>
      <c r="F200" s="11">
        <v>0.7</v>
      </c>
      <c r="G200" s="11" t="b">
        <v>0</v>
      </c>
      <c r="H200" s="11" t="b">
        <v>0</v>
      </c>
      <c r="I200" s="11" t="b">
        <v>0</v>
      </c>
      <c r="J200" s="11" t="b">
        <v>0</v>
      </c>
      <c r="K200" s="11" t="b">
        <v>0</v>
      </c>
      <c r="L200" s="11" t="b">
        <v>0</v>
      </c>
      <c r="M200" s="11" t="s">
        <v>14</v>
      </c>
      <c r="N200" s="11" t="s">
        <v>16</v>
      </c>
    </row>
    <row r="201" spans="1:14">
      <c r="A201" s="11">
        <v>200</v>
      </c>
      <c r="B201" s="11">
        <v>16</v>
      </c>
      <c r="C201" s="11">
        <v>4.5</v>
      </c>
      <c r="D201" s="11">
        <v>1.5</v>
      </c>
      <c r="E201" s="11">
        <v>74.7</v>
      </c>
      <c r="F201" s="11">
        <v>1.6</v>
      </c>
      <c r="G201" s="11" t="b">
        <v>0</v>
      </c>
      <c r="H201" s="11" t="b">
        <v>0</v>
      </c>
      <c r="I201" s="11" t="b">
        <v>0</v>
      </c>
      <c r="J201" s="11" t="b">
        <v>0</v>
      </c>
      <c r="K201" s="11" t="b">
        <v>0</v>
      </c>
      <c r="L201" s="11" t="b">
        <v>0</v>
      </c>
      <c r="M201" s="11" t="s">
        <v>18</v>
      </c>
      <c r="N201" s="11" t="s">
        <v>15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22" sqref="E22"/>
    </sheetView>
  </sheetViews>
  <sheetFormatPr defaultColWidth="9" defaultRowHeight="14.4" outlineLevelRow="7" outlineLevelCol="5"/>
  <cols>
    <col min="1" max="1" width="12.6666666666667" customWidth="1"/>
    <col min="2" max="2" width="11.1111111111111" customWidth="1"/>
    <col min="3" max="3" width="17.3333333333333" customWidth="1"/>
    <col min="4" max="4" width="17.2222222222222" customWidth="1"/>
    <col min="5" max="5" width="13.3333333333333" customWidth="1"/>
    <col min="6" max="6" width="23.6666666666667" customWidth="1"/>
  </cols>
  <sheetData>
    <row r="1" spans="2:5">
      <c r="B1" s="10"/>
      <c r="C1" s="10"/>
      <c r="D1" s="10"/>
      <c r="E1" s="10"/>
    </row>
    <row r="3" spans="1:6">
      <c r="A3" s="11" t="s">
        <v>20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</row>
    <row r="4" spans="1:6">
      <c r="A4" s="11" t="s">
        <v>21</v>
      </c>
      <c r="B4" s="11">
        <f>AVERAGE(Cleaned_Data!B2:B201)</f>
        <v>15</v>
      </c>
      <c r="C4" s="11">
        <f>AVERAGE(Cleaned_Data!C2:C201)</f>
        <v>2.547</v>
      </c>
      <c r="D4" s="11">
        <f>AVERAGE(Cleaned_Data!D2:D201)</f>
        <v>4.01</v>
      </c>
      <c r="E4" s="11">
        <f>AVERAGE(Cleaned_Data!E2:E201)</f>
        <v>70.9345</v>
      </c>
      <c r="F4" s="11">
        <f>AVERAGE(Cleaned_Data!F2:F201)</f>
        <v>1.5395</v>
      </c>
    </row>
    <row r="5" spans="1:6">
      <c r="A5" s="11" t="s">
        <v>22</v>
      </c>
      <c r="B5" s="11">
        <f>MEDIAN(Cleaned_Data!B2:B201)</f>
        <v>15</v>
      </c>
      <c r="C5" s="11">
        <f>MEDIAN(Cleaned_Data!C2:C201)</f>
        <v>2.5</v>
      </c>
      <c r="D5" s="11">
        <f>MEDIAN(Cleaned_Data!D2:D201)</f>
        <v>4.1</v>
      </c>
      <c r="E5" s="11">
        <f>MEDIAN(Cleaned_Data!E2:E201)</f>
        <v>71.55</v>
      </c>
      <c r="F5" s="11">
        <f>MEDIAN(Cleaned_Data!F2:F201)</f>
        <v>1.5</v>
      </c>
    </row>
    <row r="6" spans="1:6">
      <c r="A6" s="11" t="s">
        <v>23</v>
      </c>
      <c r="B6" s="11">
        <f>MIN(Cleaned_Data!B2:B201)</f>
        <v>13</v>
      </c>
      <c r="C6" s="11">
        <f>MIN(Cleaned_Data!C2:C201)</f>
        <v>0.2</v>
      </c>
      <c r="D6" s="11">
        <f>MIN(Cleaned_Data!D2:D201)</f>
        <v>0</v>
      </c>
      <c r="E6" s="11">
        <f>MIN(Cleaned_Data!E2:E201)</f>
        <v>34.3</v>
      </c>
      <c r="F6" s="11">
        <f>MIN(Cleaned_Data!F2:F201)</f>
        <v>0</v>
      </c>
    </row>
    <row r="7" spans="1:6">
      <c r="A7" s="11" t="s">
        <v>24</v>
      </c>
      <c r="B7" s="11">
        <f>MAX(Cleaned_Data!B2:B201)</f>
        <v>17</v>
      </c>
      <c r="C7" s="11">
        <f>MAX(Cleaned_Data!C2:C201)</f>
        <v>5.8</v>
      </c>
      <c r="D7" s="11">
        <f>MAX(Cleaned_Data!D2:D201)</f>
        <v>7.9</v>
      </c>
      <c r="E7" s="11">
        <f>MAX(Cleaned_Data!E2:E201)</f>
        <v>100</v>
      </c>
      <c r="F7" s="11">
        <f>MAX(Cleaned_Data!F2:F201)</f>
        <v>3.7</v>
      </c>
    </row>
    <row r="8" spans="1:6">
      <c r="A8" s="11" t="s">
        <v>25</v>
      </c>
      <c r="B8" s="11">
        <f>COUNT(Cleaned_Data!B2:B201)</f>
        <v>200</v>
      </c>
      <c r="C8" s="11">
        <f>COUNT(Cleaned_Data!C2:C201)</f>
        <v>200</v>
      </c>
      <c r="D8" s="11">
        <f>COUNT(Cleaned_Data!D2:D201)</f>
        <v>200</v>
      </c>
      <c r="E8" s="11">
        <f>COUNT(Cleaned_Data!E2:E201)</f>
        <v>200</v>
      </c>
      <c r="F8" s="11">
        <f>COUNT(Cleaned_Data!F2:F201)</f>
        <v>200</v>
      </c>
    </row>
  </sheetData>
  <mergeCells count="1">
    <mergeCell ref="B1:E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5" sqref="B15"/>
    </sheetView>
  </sheetViews>
  <sheetFormatPr defaultColWidth="9" defaultRowHeight="14.4" outlineLevelRow="3" outlineLevelCol="1"/>
  <cols>
    <col min="1" max="1" width="19" customWidth="1"/>
    <col min="2" max="2" width="13.6666666666667" customWidth="1"/>
  </cols>
  <sheetData>
    <row r="1" spans="1:2">
      <c r="A1" s="8" t="s">
        <v>12</v>
      </c>
      <c r="B1" s="8" t="s">
        <v>4</v>
      </c>
    </row>
    <row r="2" spans="1:2">
      <c r="A2" s="9" t="s">
        <v>18</v>
      </c>
      <c r="B2" s="9">
        <v>70.9108695652174</v>
      </c>
    </row>
    <row r="3" spans="1:2">
      <c r="A3" s="9" t="s">
        <v>14</v>
      </c>
      <c r="B3" s="9">
        <v>69.0743055555556</v>
      </c>
    </row>
    <row r="4" spans="1:2">
      <c r="A4" s="9" t="s">
        <v>17</v>
      </c>
      <c r="B4" s="9">
        <v>72.2152380952381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16" sqref="D16"/>
    </sheetView>
  </sheetViews>
  <sheetFormatPr defaultColWidth="9" defaultRowHeight="14.4" outlineLevelRow="3" outlineLevelCol="2"/>
  <cols>
    <col min="1" max="1" width="20.6666666666667" customWidth="1"/>
    <col min="2" max="2" width="22.3333333333333" customWidth="1"/>
    <col min="3" max="3" width="15.6666666666667" customWidth="1"/>
  </cols>
  <sheetData>
    <row r="1" spans="1:3">
      <c r="A1" s="6" t="s">
        <v>12</v>
      </c>
      <c r="B1" s="6" t="s">
        <v>5</v>
      </c>
      <c r="C1" s="6" t="s">
        <v>3</v>
      </c>
    </row>
    <row r="2" spans="1:3">
      <c r="A2" s="7" t="s">
        <v>18</v>
      </c>
      <c r="B2" s="7">
        <v>1.47391304347826</v>
      </c>
      <c r="C2" s="7">
        <v>1.45217391304348</v>
      </c>
    </row>
    <row r="3" spans="1:3">
      <c r="A3" s="7" t="s">
        <v>14</v>
      </c>
      <c r="B3" s="7">
        <v>1.45555555555556</v>
      </c>
      <c r="C3" s="7">
        <v>3.14166666666667</v>
      </c>
    </row>
    <row r="4" spans="1:3">
      <c r="A4" s="7" t="s">
        <v>17</v>
      </c>
      <c r="B4" s="7">
        <v>1.61142857142857</v>
      </c>
      <c r="C4" s="7">
        <v>5.16571428571428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O28" sqref="O28"/>
    </sheetView>
  </sheetViews>
  <sheetFormatPr defaultColWidth="9" defaultRowHeight="14.4" outlineLevelRow="3" outlineLevelCol="1"/>
  <cols>
    <col min="1" max="1" width="13.7777777777778" customWidth="1"/>
    <col min="2" max="2" width="13.5555555555556" customWidth="1"/>
  </cols>
  <sheetData>
    <row r="1" spans="1:2">
      <c r="A1" s="6" t="s">
        <v>13</v>
      </c>
      <c r="B1" s="6" t="s">
        <v>4</v>
      </c>
    </row>
    <row r="2" spans="1:2">
      <c r="A2" s="5" t="s">
        <v>19</v>
      </c>
      <c r="B2" s="5">
        <v>72.2801282051282</v>
      </c>
    </row>
    <row r="3" spans="1:2">
      <c r="A3" s="5" t="s">
        <v>15</v>
      </c>
      <c r="B3" s="5">
        <v>70.75</v>
      </c>
    </row>
    <row r="4" spans="1:2">
      <c r="A4" s="5" t="s">
        <v>16</v>
      </c>
      <c r="B4" s="5">
        <v>68.4597222222222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I25" sqref="I25"/>
    </sheetView>
  </sheetViews>
  <sheetFormatPr defaultColWidth="9" defaultRowHeight="14.4" outlineLevelRow="3" outlineLevelCol="1"/>
  <cols>
    <col min="1" max="1" width="16.4444444444444" customWidth="1"/>
    <col min="2" max="2" width="15.4444444444444" customWidth="1"/>
  </cols>
  <sheetData>
    <row r="1" spans="1:2">
      <c r="A1" s="5" t="s">
        <v>12</v>
      </c>
      <c r="B1" s="5" t="s">
        <v>26</v>
      </c>
    </row>
    <row r="2" spans="1:2">
      <c r="A2" s="5" t="s">
        <v>18</v>
      </c>
      <c r="B2" s="5">
        <v>70.9108695652174</v>
      </c>
    </row>
    <row r="3" spans="1:2">
      <c r="A3" s="5" t="s">
        <v>14</v>
      </c>
      <c r="B3" s="5">
        <v>69.0743055555556</v>
      </c>
    </row>
    <row r="4" spans="1:2">
      <c r="A4" s="5" t="s">
        <v>17</v>
      </c>
      <c r="B4" s="5">
        <v>72.2152380952381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1"/>
  <sheetViews>
    <sheetView workbookViewId="0">
      <selection activeCell="C19" sqref="C19"/>
    </sheetView>
  </sheetViews>
  <sheetFormatPr defaultColWidth="9" defaultRowHeight="14.4"/>
  <sheetData>
    <row r="2" ht="15.6" spans="1:14">
      <c r="A2" s="1"/>
      <c r="B2" s="2" t="s">
        <v>27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5.6" spans="1:14">
      <c r="A4" s="3" t="s">
        <v>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</row>
    <row r="5" ht="15.6" spans="1:14">
      <c r="A5" s="3" t="s">
        <v>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</row>
    <row r="6" ht="15.6" spans="1:14">
      <c r="A6" s="3" t="s">
        <v>30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</row>
    <row r="7" ht="15.6" spans="1:14">
      <c r="A7" s="3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</sheetData>
  <mergeCells count="1">
    <mergeCell ref="B2: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Cleaned_Data</vt:lpstr>
      <vt:lpstr>Summary</vt:lpstr>
      <vt:lpstr>Pivot_Score_by_Screen</vt:lpstr>
      <vt:lpstr>Pivot_Screen_vs_Extra</vt:lpstr>
      <vt:lpstr>Pivot_AgeGroup_Perf</vt:lpstr>
      <vt:lpstr>Dashboard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krisskonda</cp:lastModifiedBy>
  <dcterms:created xsi:type="dcterms:W3CDTF">2025-09-12T12:32:00Z</dcterms:created>
  <dcterms:modified xsi:type="dcterms:W3CDTF">2025-09-15T18:30:48Z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7113A2BF72D044999AC239D25C8022A0_13</vt:lpwstr>
  </property>
  <property fmtid="{D5CDD505-2E9C-101B-9397-08002B2CF9AE}" pid="3" name="KSOProductBuildVer">
    <vt:lpwstr>1033-12.2.0.22549</vt:lpwstr>
  </property>
</Properties>
</file>